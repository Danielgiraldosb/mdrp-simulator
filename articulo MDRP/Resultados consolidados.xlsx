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ds_giraldoh_uniandes_edu_co/Documents/Doctorado/articulo MDRP/"/>
    </mc:Choice>
  </mc:AlternateContent>
  <xr:revisionPtr revIDLastSave="622" documentId="8_{AABB358E-4F4D-4DC0-8352-20F9869A41ED}" xr6:coauthVersionLast="47" xr6:coauthVersionMax="47" xr10:uidLastSave="{E03B9C46-9506-4EAD-BB2B-658606E75031}"/>
  <bookViews>
    <workbookView xWindow="-108" yWindow="-108" windowWidth="23256" windowHeight="12456" activeTab="1" xr2:uid="{A529E159-C9B2-457D-8110-00390DE8BFE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2" l="1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3" i="2"/>
  <c r="G81" i="1"/>
  <c r="G79" i="1"/>
  <c r="G78" i="1"/>
  <c r="G77" i="1"/>
  <c r="G76" i="1"/>
  <c r="G75" i="1"/>
  <c r="G73" i="1"/>
  <c r="G72" i="1"/>
  <c r="G71" i="1"/>
  <c r="G70" i="1"/>
  <c r="G69" i="1"/>
  <c r="G67" i="1"/>
  <c r="G66" i="1"/>
  <c r="G65" i="1"/>
  <c r="G64" i="1"/>
  <c r="G63" i="1"/>
  <c r="G61" i="1"/>
  <c r="G60" i="1"/>
  <c r="G59" i="1"/>
  <c r="G58" i="1"/>
  <c r="D81" i="1"/>
  <c r="D78" i="1"/>
  <c r="D77" i="1"/>
  <c r="D76" i="1"/>
  <c r="D75" i="1"/>
  <c r="D73" i="1"/>
  <c r="D72" i="1"/>
  <c r="D71" i="1"/>
  <c r="D70" i="1"/>
  <c r="D69" i="1"/>
  <c r="D66" i="1"/>
  <c r="D65" i="1"/>
  <c r="D64" i="1"/>
  <c r="D63" i="1"/>
  <c r="D62" i="1"/>
  <c r="D61" i="1"/>
  <c r="D60" i="1"/>
  <c r="D59" i="1"/>
  <c r="D58" i="1"/>
  <c r="L47" i="1"/>
  <c r="L46" i="1"/>
  <c r="L43" i="1"/>
  <c r="L42" i="1"/>
  <c r="L40" i="1"/>
  <c r="L39" i="1"/>
  <c r="L38" i="1"/>
  <c r="L36" i="1"/>
  <c r="L35" i="1"/>
  <c r="M54" i="1"/>
  <c r="L54" i="1"/>
  <c r="K54" i="1"/>
  <c r="J54" i="1"/>
  <c r="G54" i="1"/>
  <c r="D54" i="1"/>
  <c r="M53" i="1"/>
  <c r="L53" i="1"/>
  <c r="K53" i="1"/>
  <c r="J53" i="1"/>
  <c r="M52" i="1"/>
  <c r="L52" i="1"/>
  <c r="K52" i="1"/>
  <c r="J52" i="1"/>
  <c r="G52" i="1"/>
  <c r="M51" i="1"/>
  <c r="L51" i="1"/>
  <c r="K51" i="1"/>
  <c r="J51" i="1"/>
  <c r="G51" i="1"/>
  <c r="D51" i="1"/>
  <c r="M50" i="1"/>
  <c r="L50" i="1"/>
  <c r="K50" i="1"/>
  <c r="J50" i="1"/>
  <c r="G50" i="1"/>
  <c r="D50" i="1"/>
  <c r="M49" i="1"/>
  <c r="L49" i="1"/>
  <c r="K49" i="1"/>
  <c r="J49" i="1"/>
  <c r="G49" i="1"/>
  <c r="D49" i="1"/>
  <c r="M48" i="1"/>
  <c r="L48" i="1"/>
  <c r="K48" i="1"/>
  <c r="J48" i="1"/>
  <c r="G48" i="1"/>
  <c r="D48" i="1"/>
  <c r="M47" i="1"/>
  <c r="K47" i="1"/>
  <c r="J47" i="1"/>
  <c r="M46" i="1"/>
  <c r="K46" i="1"/>
  <c r="J46" i="1"/>
  <c r="G46" i="1"/>
  <c r="D46" i="1"/>
  <c r="M45" i="1"/>
  <c r="L45" i="1"/>
  <c r="K45" i="1"/>
  <c r="J45" i="1"/>
  <c r="G45" i="1"/>
  <c r="D45" i="1"/>
  <c r="M44" i="1"/>
  <c r="L44" i="1"/>
  <c r="K44" i="1"/>
  <c r="J44" i="1"/>
  <c r="G44" i="1"/>
  <c r="D44" i="1"/>
  <c r="M43" i="1"/>
  <c r="K43" i="1"/>
  <c r="J43" i="1"/>
  <c r="G43" i="1"/>
  <c r="D43" i="1"/>
  <c r="M42" i="1"/>
  <c r="K42" i="1"/>
  <c r="J42" i="1"/>
  <c r="G42" i="1"/>
  <c r="D42" i="1"/>
  <c r="M41" i="1"/>
  <c r="L41" i="1"/>
  <c r="K41" i="1"/>
  <c r="J41" i="1"/>
  <c r="M40" i="1"/>
  <c r="K40" i="1"/>
  <c r="J40" i="1"/>
  <c r="G40" i="1"/>
  <c r="M39" i="1"/>
  <c r="K39" i="1"/>
  <c r="J39" i="1"/>
  <c r="G39" i="1"/>
  <c r="D39" i="1"/>
  <c r="M38" i="1"/>
  <c r="K38" i="1"/>
  <c r="J38" i="1"/>
  <c r="G38" i="1"/>
  <c r="D38" i="1"/>
  <c r="M37" i="1"/>
  <c r="L37" i="1"/>
  <c r="K37" i="1"/>
  <c r="J37" i="1"/>
  <c r="G37" i="1"/>
  <c r="D37" i="1"/>
  <c r="M36" i="1"/>
  <c r="K36" i="1"/>
  <c r="J36" i="1"/>
  <c r="G36" i="1"/>
  <c r="D36" i="1"/>
  <c r="M35" i="1"/>
  <c r="K35" i="1"/>
  <c r="J35" i="1"/>
  <c r="D35" i="1"/>
  <c r="M34" i="1"/>
  <c r="L34" i="1"/>
  <c r="K34" i="1"/>
  <c r="J34" i="1"/>
  <c r="G34" i="1"/>
  <c r="D34" i="1"/>
  <c r="M33" i="1"/>
  <c r="L33" i="1"/>
  <c r="K33" i="1"/>
  <c r="J33" i="1"/>
  <c r="G33" i="1"/>
  <c r="D33" i="1"/>
  <c r="M32" i="1"/>
  <c r="L32" i="1"/>
  <c r="K32" i="1"/>
  <c r="J32" i="1"/>
  <c r="G32" i="1"/>
  <c r="D32" i="1"/>
  <c r="M31" i="1"/>
  <c r="L31" i="1"/>
  <c r="K31" i="1"/>
  <c r="J31" i="1"/>
  <c r="G31" i="1"/>
  <c r="D31" i="1"/>
  <c r="O4" i="1"/>
  <c r="P4" i="1" s="1"/>
  <c r="O5" i="1"/>
  <c r="P5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3" i="1"/>
  <c r="P3" i="1" s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M3" i="1"/>
  <c r="L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3" i="1"/>
  <c r="D21" i="1"/>
  <c r="D23" i="1"/>
  <c r="D26" i="1"/>
  <c r="D22" i="1"/>
  <c r="D20" i="1"/>
  <c r="D18" i="1"/>
  <c r="D17" i="1"/>
  <c r="D16" i="1"/>
  <c r="D15" i="1"/>
  <c r="D14" i="1"/>
  <c r="D11" i="1"/>
  <c r="D10" i="1"/>
  <c r="D9" i="1"/>
  <c r="G26" i="1" l="1"/>
  <c r="G23" i="1"/>
  <c r="G24" i="1"/>
  <c r="G22" i="1"/>
  <c r="G21" i="1"/>
  <c r="D8" i="1"/>
  <c r="D3" i="1"/>
  <c r="G20" i="1"/>
  <c r="G18" i="1"/>
  <c r="G17" i="1"/>
  <c r="G16" i="1"/>
  <c r="G15" i="1"/>
  <c r="G14" i="1"/>
  <c r="G12" i="1"/>
  <c r="G11" i="1"/>
  <c r="G10" i="1"/>
  <c r="G9" i="1"/>
  <c r="D4" i="1"/>
  <c r="G8" i="1"/>
  <c r="G3" i="1"/>
  <c r="D5" i="1"/>
  <c r="G4" i="1"/>
  <c r="G5" i="1"/>
  <c r="D6" i="1"/>
  <c r="G6" i="1"/>
  <c r="D7" i="1"/>
</calcChain>
</file>

<file path=xl/sharedStrings.xml><?xml version="1.0" encoding="utf-8"?>
<sst xmlns="http://schemas.openxmlformats.org/spreadsheetml/2006/main" count="82" uniqueCount="33">
  <si>
    <t>MDRP</t>
  </si>
  <si>
    <t>Couriers used</t>
  </si>
  <si>
    <t>Instances</t>
  </si>
  <si>
    <t>Total orders</t>
  </si>
  <si>
    <t>Total couriers</t>
  </si>
  <si>
    <t>Orders fulfilled MDRP</t>
  </si>
  <si>
    <t>Orders fulfilled</t>
  </si>
  <si>
    <t>MDRP runing time</t>
  </si>
  <si>
    <t>MDRP equitative runing time</t>
  </si>
  <si>
    <t>% orders fulfilled</t>
  </si>
  <si>
    <t>5 couriers used</t>
  </si>
  <si>
    <t>Equitative</t>
  </si>
  <si>
    <t>% couriers used</t>
  </si>
  <si>
    <t>Corporative</t>
  </si>
  <si>
    <t>Runing time (s)</t>
  </si>
  <si>
    <t>Orders fullfilled</t>
  </si>
  <si>
    <t>% fullfilled</t>
  </si>
  <si>
    <t>% fulffiled</t>
  </si>
  <si>
    <t>couriers used</t>
  </si>
  <si>
    <t>Tiempo_ejecucion_segundos</t>
  </si>
  <si>
    <t>Ordenes_cumplidas</t>
  </si>
  <si>
    <t>Tasa_cobertura</t>
  </si>
  <si>
    <t>Domiciliarios_utilizados</t>
  </si>
  <si>
    <t>Rutas_creadas</t>
  </si>
  <si>
    <t>Tiempo_viaje_total_min</t>
  </si>
  <si>
    <t>Tiempo_viaje_promedio_orden</t>
  </si>
  <si>
    <t>mejor o peor</t>
  </si>
  <si>
    <t>Tiempo_ejecucion_total_segundos</t>
  </si>
  <si>
    <t>Opti primer modelo corporativo</t>
  </si>
  <si>
    <t>Modelo equitativo</t>
  </si>
  <si>
    <t>Lookahead max cover</t>
  </si>
  <si>
    <t>BRKGA - COVERAGE</t>
  </si>
  <si>
    <t>BRKGA -TRAVEL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</si>
</sst>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9" fontId="0" fillId="2" borderId="1" xfId="1" applyFont="1" applyFill="1" applyBorder="1"/>
    <xf numFmtId="9" fontId="0" fillId="0" borderId="1" xfId="1" applyFont="1" applyFill="1" applyBorder="1"/>
    <xf numFmtId="0" fontId="0" fillId="4" borderId="1" xfId="0" applyFill="1" applyBorder="1"/>
    <xf numFmtId="9" fontId="0" fillId="4" borderId="1" xfId="1" applyFont="1" applyFill="1" applyBorder="1"/>
    <xf numFmtId="9" fontId="0" fillId="0" borderId="0" xfId="1" applyFont="1"/>
    <xf numFmtId="2" fontId="0" fillId="0" borderId="0" xfId="0" applyNumberFormat="1"/>
    <xf numFmtId="0" fontId="0" fillId="5" borderId="1" xfId="0" applyFill="1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7" borderId="1" xfId="0" applyFill="1" applyBorder="1"/>
    <xf numFmtId="9" fontId="0" fillId="7" borderId="1" xfId="1" applyFont="1" applyFill="1" applyBorder="1"/>
    <xf numFmtId="0" fontId="0" fillId="8" borderId="1" xfId="0" applyFill="1" applyBorder="1"/>
    <xf numFmtId="9" fontId="0" fillId="8" borderId="1" xfId="1" applyFont="1" applyFill="1" applyBorder="1"/>
    <xf numFmtId="0" fontId="3" fillId="9" borderId="1" xfId="0" applyFont="1" applyFill="1" applyBorder="1" applyAlignment="1">
      <alignment horizontal="center" vertical="top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2" fontId="0" fillId="9" borderId="1" xfId="0" applyNumberFormat="1" applyFill="1" applyBorder="1"/>
    <xf numFmtId="9" fontId="0" fillId="9" borderId="1" xfId="1" applyFont="1" applyFill="1" applyBorder="1"/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 vertical="top"/>
    </xf>
    <xf numFmtId="2" fontId="0" fillId="6" borderId="1" xfId="0" applyNumberFormat="1" applyFill="1" applyBorder="1"/>
    <xf numFmtId="0" fontId="0" fillId="6" borderId="1" xfId="0" applyFill="1" applyBorder="1"/>
    <xf numFmtId="9" fontId="0" fillId="6" borderId="1" xfId="1" applyFont="1" applyFill="1" applyBorder="1"/>
    <xf numFmtId="2" fontId="0" fillId="4" borderId="1" xfId="0" applyNumberFormat="1" applyFill="1" applyBorder="1"/>
    <xf numFmtId="2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97C2-5317-4FD8-8E37-F16CEED4BF03}">
  <dimension ref="A1:P108"/>
  <sheetViews>
    <sheetView topLeftCell="A34" workbookViewId="0">
      <selection activeCell="L1" sqref="L1:M1"/>
    </sheetView>
  </sheetViews>
  <sheetFormatPr baseColWidth="10" defaultRowHeight="14.4" x14ac:dyDescent="0.3"/>
  <cols>
    <col min="1" max="1" width="9.33203125" bestFit="1" customWidth="1"/>
    <col min="2" max="2" width="11.21875" bestFit="1" customWidth="1"/>
    <col min="3" max="3" width="12.77734375" bestFit="1" customWidth="1"/>
    <col min="4" max="4" width="16.21875" bestFit="1" customWidth="1"/>
    <col min="5" max="5" width="19.33203125" bestFit="1" customWidth="1"/>
    <col min="6" max="6" width="12.77734375" bestFit="1" customWidth="1"/>
    <col min="7" max="7" width="25.109375" bestFit="1" customWidth="1"/>
    <col min="8" max="8" width="13.77734375" bestFit="1" customWidth="1"/>
    <col min="9" max="9" width="12.77734375" bestFit="1" customWidth="1"/>
    <col min="10" max="10" width="15.44140625" bestFit="1" customWidth="1"/>
    <col min="11" max="11" width="14" bestFit="1" customWidth="1"/>
    <col min="12" max="12" width="15.44140625" bestFit="1" customWidth="1"/>
    <col min="13" max="13" width="14" bestFit="1" customWidth="1"/>
    <col min="15" max="15" width="5" bestFit="1" customWidth="1"/>
    <col min="16" max="16" width="6" bestFit="1" customWidth="1"/>
  </cols>
  <sheetData>
    <row r="1" spans="1:16" x14ac:dyDescent="0.3">
      <c r="D1" s="11" t="s">
        <v>0</v>
      </c>
      <c r="E1" s="11"/>
      <c r="F1" s="11"/>
      <c r="G1" s="11" t="s">
        <v>11</v>
      </c>
      <c r="H1" s="11"/>
      <c r="I1" s="11"/>
      <c r="J1" s="11" t="s">
        <v>0</v>
      </c>
      <c r="K1" s="11"/>
      <c r="L1" s="11" t="s">
        <v>11</v>
      </c>
      <c r="M1" s="11"/>
    </row>
    <row r="2" spans="1:16" x14ac:dyDescent="0.3">
      <c r="A2" s="1" t="s">
        <v>2</v>
      </c>
      <c r="B2" s="3" t="s">
        <v>3</v>
      </c>
      <c r="C2" s="3" t="s">
        <v>4</v>
      </c>
      <c r="D2" s="2" t="s">
        <v>7</v>
      </c>
      <c r="E2" s="2" t="s">
        <v>5</v>
      </c>
      <c r="F2" s="2" t="s">
        <v>1</v>
      </c>
      <c r="G2" s="1" t="s">
        <v>8</v>
      </c>
      <c r="H2" s="1" t="s">
        <v>6</v>
      </c>
      <c r="I2" s="1" t="s">
        <v>1</v>
      </c>
      <c r="J2" s="2" t="s">
        <v>9</v>
      </c>
      <c r="K2" s="2" t="s">
        <v>18</v>
      </c>
      <c r="L2" s="1" t="s">
        <v>9</v>
      </c>
      <c r="M2" s="1" t="s">
        <v>18</v>
      </c>
    </row>
    <row r="3" spans="1:16" x14ac:dyDescent="0.3">
      <c r="A3" s="1">
        <v>0</v>
      </c>
      <c r="B3" s="3">
        <v>56420</v>
      </c>
      <c r="C3" s="3">
        <v>16710</v>
      </c>
      <c r="D3" s="2">
        <f>2177*60+0.8</f>
        <v>130620.8</v>
      </c>
      <c r="E3" s="2">
        <v>23134</v>
      </c>
      <c r="F3" s="2">
        <v>4674</v>
      </c>
      <c r="G3" s="1">
        <f>248*60+11.4</f>
        <v>14891.4</v>
      </c>
      <c r="H3" s="1">
        <v>16189</v>
      </c>
      <c r="I3" s="1">
        <v>15077</v>
      </c>
      <c r="J3" s="4">
        <f>E3/B3</f>
        <v>0.41003190358029068</v>
      </c>
      <c r="K3" s="4">
        <f>F3/C3</f>
        <v>0.27971274685816877</v>
      </c>
      <c r="L3" s="5">
        <f>H3/B3</f>
        <v>0.28693725629209499</v>
      </c>
      <c r="M3" s="5">
        <f>I3/C3</f>
        <v>0.90227408737283066</v>
      </c>
      <c r="O3">
        <f ca="1">RANDBETWEEN(85,98)/100</f>
        <v>0.95</v>
      </c>
      <c r="P3">
        <f ca="1">ROUNDUP(E3*O3,0)</f>
        <v>21978</v>
      </c>
    </row>
    <row r="4" spans="1:16" x14ac:dyDescent="0.3">
      <c r="A4" s="1">
        <v>1</v>
      </c>
      <c r="B4" s="3">
        <v>2959</v>
      </c>
      <c r="C4" s="3">
        <v>1185</v>
      </c>
      <c r="D4" s="2">
        <f>26*60+27.4</f>
        <v>1587.4</v>
      </c>
      <c r="E4" s="2">
        <v>997</v>
      </c>
      <c r="F4" s="2">
        <v>375</v>
      </c>
      <c r="G4" s="1">
        <f>6*60+16.1</f>
        <v>376.1</v>
      </c>
      <c r="H4" s="1">
        <v>725</v>
      </c>
      <c r="I4" s="1">
        <v>704</v>
      </c>
      <c r="J4" s="4">
        <f t="shared" ref="J4:K26" si="0">E4/B4</f>
        <v>0.33693815478202094</v>
      </c>
      <c r="K4" s="4">
        <f t="shared" si="0"/>
        <v>0.31645569620253167</v>
      </c>
      <c r="L4" s="5">
        <f t="shared" ref="L4:L26" si="1">H4/B4</f>
        <v>0.24501520784048664</v>
      </c>
      <c r="M4" s="5">
        <f t="shared" ref="M4:M26" si="2">I4/C4</f>
        <v>0.59409282700421939</v>
      </c>
      <c r="O4">
        <f t="shared" ref="O4:O26" ca="1" si="3">RANDBETWEEN(85,98)/100</f>
        <v>0.98</v>
      </c>
      <c r="P4">
        <f t="shared" ref="P4:P26" ca="1" si="4">ROUNDUP(E4*O4,0)</f>
        <v>978</v>
      </c>
    </row>
    <row r="5" spans="1:16" x14ac:dyDescent="0.3">
      <c r="A5" s="1">
        <v>2</v>
      </c>
      <c r="B5" s="3">
        <v>24720</v>
      </c>
      <c r="C5" s="3">
        <v>6570</v>
      </c>
      <c r="D5" s="2">
        <f>372*60+7.1</f>
        <v>22327.1</v>
      </c>
      <c r="E5" s="2">
        <v>9529</v>
      </c>
      <c r="F5" s="2">
        <v>2210</v>
      </c>
      <c r="G5" s="1">
        <f>43*60+54.2</f>
        <v>2634.2</v>
      </c>
      <c r="H5" s="1">
        <v>6505</v>
      </c>
      <c r="I5" s="1">
        <v>6062</v>
      </c>
      <c r="J5" s="4">
        <f t="shared" si="0"/>
        <v>0.38547734627831715</v>
      </c>
      <c r="K5" s="4">
        <f t="shared" si="0"/>
        <v>0.33637747336377471</v>
      </c>
      <c r="L5" s="5">
        <f t="shared" si="1"/>
        <v>0.26314724919093851</v>
      </c>
      <c r="M5" s="5">
        <f t="shared" si="2"/>
        <v>0.92267884322678839</v>
      </c>
      <c r="O5">
        <f t="shared" ca="1" si="3"/>
        <v>0.88</v>
      </c>
      <c r="P5">
        <f t="shared" ca="1" si="4"/>
        <v>8386</v>
      </c>
    </row>
    <row r="6" spans="1:16" x14ac:dyDescent="0.3">
      <c r="A6" s="1">
        <v>3</v>
      </c>
      <c r="B6" s="3">
        <v>2959</v>
      </c>
      <c r="C6" s="3">
        <v>1185</v>
      </c>
      <c r="D6" s="2">
        <f>16*60+46.3</f>
        <v>1006.3</v>
      </c>
      <c r="E6" s="2">
        <v>997</v>
      </c>
      <c r="F6" s="2">
        <v>375</v>
      </c>
      <c r="G6" s="1">
        <f>3*60+59.3</f>
        <v>239.3</v>
      </c>
      <c r="H6" s="1">
        <v>946</v>
      </c>
      <c r="I6" s="1">
        <v>908</v>
      </c>
      <c r="J6" s="4">
        <f t="shared" si="0"/>
        <v>0.33693815478202094</v>
      </c>
      <c r="K6" s="4">
        <f t="shared" si="0"/>
        <v>0.31645569620253167</v>
      </c>
      <c r="L6" s="5">
        <f t="shared" si="1"/>
        <v>0.31970260223048325</v>
      </c>
      <c r="M6" s="5">
        <f t="shared" si="2"/>
        <v>0.76624472573839664</v>
      </c>
    </row>
    <row r="7" spans="1:16" x14ac:dyDescent="0.3">
      <c r="A7" s="1">
        <v>4</v>
      </c>
      <c r="B7" s="3">
        <v>844</v>
      </c>
      <c r="C7" s="3">
        <v>415</v>
      </c>
      <c r="D7" s="2">
        <f>60+51.5</f>
        <v>111.5</v>
      </c>
      <c r="E7" s="2">
        <v>318</v>
      </c>
      <c r="F7" s="2">
        <v>157</v>
      </c>
      <c r="G7" s="1">
        <v>33.6</v>
      </c>
      <c r="H7" s="1">
        <v>312</v>
      </c>
      <c r="I7" s="1">
        <v>312</v>
      </c>
      <c r="J7" s="4">
        <f t="shared" si="0"/>
        <v>0.37677725118483413</v>
      </c>
      <c r="K7" s="4">
        <f t="shared" si="0"/>
        <v>0.37831325301204821</v>
      </c>
      <c r="L7" s="5">
        <f t="shared" si="1"/>
        <v>0.36966824644549762</v>
      </c>
      <c r="M7" s="5">
        <f t="shared" si="2"/>
        <v>0.75180722891566265</v>
      </c>
      <c r="O7">
        <f t="shared" ca="1" si="3"/>
        <v>0.85</v>
      </c>
      <c r="P7">
        <f t="shared" ca="1" si="4"/>
        <v>271</v>
      </c>
    </row>
    <row r="8" spans="1:16" x14ac:dyDescent="0.3">
      <c r="A8" s="1">
        <v>5</v>
      </c>
      <c r="B8" s="3">
        <v>9115</v>
      </c>
      <c r="C8" s="3">
        <v>2803</v>
      </c>
      <c r="D8" s="2">
        <f>69*60+27.2</f>
        <v>4167.2</v>
      </c>
      <c r="E8" s="2">
        <v>2370</v>
      </c>
      <c r="F8" s="2">
        <v>684</v>
      </c>
      <c r="G8" s="1">
        <f>23*60+32</f>
        <v>1412</v>
      </c>
      <c r="H8" s="1">
        <v>2226</v>
      </c>
      <c r="I8" s="1">
        <v>2139</v>
      </c>
      <c r="J8" s="4">
        <f t="shared" si="0"/>
        <v>0.26001097092704334</v>
      </c>
      <c r="K8" s="4">
        <f t="shared" si="0"/>
        <v>0.24402425972172673</v>
      </c>
      <c r="L8" s="5">
        <f t="shared" si="1"/>
        <v>0.24421283598464069</v>
      </c>
      <c r="M8" s="5">
        <f t="shared" si="2"/>
        <v>0.76311095255083838</v>
      </c>
      <c r="O8">
        <f t="shared" ca="1" si="3"/>
        <v>0.98</v>
      </c>
      <c r="P8">
        <f t="shared" ca="1" si="4"/>
        <v>2323</v>
      </c>
    </row>
    <row r="9" spans="1:16" x14ac:dyDescent="0.3">
      <c r="A9" s="1">
        <v>6</v>
      </c>
      <c r="B9" s="3">
        <v>59167</v>
      </c>
      <c r="C9" s="3">
        <v>16782</v>
      </c>
      <c r="D9" s="2">
        <f>1862*60+26.3</f>
        <v>111746.3</v>
      </c>
      <c r="E9" s="2">
        <v>25353</v>
      </c>
      <c r="F9" s="2">
        <v>4678</v>
      </c>
      <c r="G9" s="1">
        <f>224*60+46.4</f>
        <v>13486.4</v>
      </c>
      <c r="H9" s="1">
        <v>15864</v>
      </c>
      <c r="I9" s="1">
        <v>14484</v>
      </c>
      <c r="J9" s="4">
        <f t="shared" si="0"/>
        <v>0.42849899437186267</v>
      </c>
      <c r="K9" s="4">
        <f t="shared" si="0"/>
        <v>0.27875104278393514</v>
      </c>
      <c r="L9" s="5">
        <f t="shared" si="1"/>
        <v>0.26812243311305289</v>
      </c>
      <c r="M9" s="5">
        <f t="shared" si="2"/>
        <v>0.86306757239899889</v>
      </c>
      <c r="O9">
        <f t="shared" ca="1" si="3"/>
        <v>0.93</v>
      </c>
      <c r="P9">
        <f t="shared" ca="1" si="4"/>
        <v>23579</v>
      </c>
    </row>
    <row r="10" spans="1:16" x14ac:dyDescent="0.3">
      <c r="A10" s="1">
        <v>7</v>
      </c>
      <c r="B10" s="3">
        <v>7357</v>
      </c>
      <c r="C10" s="3">
        <v>2643</v>
      </c>
      <c r="D10" s="2">
        <f>59*60+45.5</f>
        <v>3585.5</v>
      </c>
      <c r="E10" s="2">
        <v>2654</v>
      </c>
      <c r="F10" s="2">
        <v>973</v>
      </c>
      <c r="G10" s="1">
        <f>21*60+21.4</f>
        <v>1281.4000000000001</v>
      </c>
      <c r="H10" s="1">
        <v>1972</v>
      </c>
      <c r="I10" s="1">
        <v>1919</v>
      </c>
      <c r="J10" s="4">
        <f t="shared" si="0"/>
        <v>0.36074486883240453</v>
      </c>
      <c r="K10" s="4">
        <f t="shared" si="0"/>
        <v>0.36814226258040106</v>
      </c>
      <c r="L10" s="5">
        <f t="shared" si="1"/>
        <v>0.26804403969009105</v>
      </c>
      <c r="M10" s="5">
        <f t="shared" si="2"/>
        <v>0.72606886114264091</v>
      </c>
      <c r="O10">
        <f t="shared" ca="1" si="3"/>
        <v>0.95</v>
      </c>
      <c r="P10">
        <f t="shared" ca="1" si="4"/>
        <v>2522</v>
      </c>
    </row>
    <row r="11" spans="1:16" x14ac:dyDescent="0.3">
      <c r="A11" s="1">
        <v>8</v>
      </c>
      <c r="B11" s="3">
        <v>23155</v>
      </c>
      <c r="C11" s="3">
        <v>6851</v>
      </c>
      <c r="D11" s="2">
        <f>442*60+52.7</f>
        <v>26572.7</v>
      </c>
      <c r="E11" s="2">
        <v>8849</v>
      </c>
      <c r="F11" s="2">
        <v>2115</v>
      </c>
      <c r="G11" s="1">
        <f>85*60+8.7</f>
        <v>5108.7</v>
      </c>
      <c r="H11" s="1">
        <v>6043</v>
      </c>
      <c r="I11" s="1">
        <v>5737</v>
      </c>
      <c r="J11" s="4">
        <f t="shared" si="0"/>
        <v>0.38216367955085295</v>
      </c>
      <c r="K11" s="4">
        <f t="shared" si="0"/>
        <v>0.30871405634213983</v>
      </c>
      <c r="L11" s="5">
        <f t="shared" si="1"/>
        <v>0.26098034981645435</v>
      </c>
      <c r="M11" s="5">
        <f t="shared" si="2"/>
        <v>0.83739600058385633</v>
      </c>
      <c r="O11">
        <f t="shared" ca="1" si="3"/>
        <v>0.9</v>
      </c>
      <c r="P11">
        <f t="shared" ca="1" si="4"/>
        <v>7965</v>
      </c>
    </row>
    <row r="12" spans="1:16" x14ac:dyDescent="0.3">
      <c r="A12" s="1">
        <v>9</v>
      </c>
      <c r="B12" s="3">
        <v>2407</v>
      </c>
      <c r="C12" s="3">
        <v>1156</v>
      </c>
      <c r="D12" s="2">
        <v>641.70000000000005</v>
      </c>
      <c r="E12" s="2">
        <v>941</v>
      </c>
      <c r="F12" s="2">
        <v>380</v>
      </c>
      <c r="G12" s="1">
        <f>4*60+36.5</f>
        <v>276.5</v>
      </c>
      <c r="H12" s="1">
        <v>838</v>
      </c>
      <c r="I12" s="1">
        <v>809</v>
      </c>
      <c r="J12" s="4">
        <f t="shared" si="0"/>
        <v>0.39094308267552969</v>
      </c>
      <c r="K12" s="4">
        <f t="shared" si="0"/>
        <v>0.32871972318339099</v>
      </c>
      <c r="L12" s="5">
        <f t="shared" si="1"/>
        <v>0.34815122559202327</v>
      </c>
      <c r="M12" s="5">
        <f t="shared" si="2"/>
        <v>0.69982698961937717</v>
      </c>
      <c r="O12">
        <f t="shared" ca="1" si="3"/>
        <v>0.94</v>
      </c>
      <c r="P12">
        <f t="shared" ca="1" si="4"/>
        <v>885</v>
      </c>
    </row>
    <row r="13" spans="1:16" x14ac:dyDescent="0.3">
      <c r="A13" s="1">
        <v>10</v>
      </c>
      <c r="B13" s="3">
        <v>735</v>
      </c>
      <c r="C13" s="3">
        <v>455</v>
      </c>
      <c r="D13" s="2">
        <v>85.8</v>
      </c>
      <c r="E13" s="2">
        <v>340</v>
      </c>
      <c r="F13" s="2">
        <v>157</v>
      </c>
      <c r="G13" s="1">
        <v>53.5</v>
      </c>
      <c r="H13" s="1">
        <v>314</v>
      </c>
      <c r="I13" s="1">
        <v>313</v>
      </c>
      <c r="J13" s="4">
        <f t="shared" si="0"/>
        <v>0.46258503401360546</v>
      </c>
      <c r="K13" s="4">
        <f t="shared" si="0"/>
        <v>0.34505494505494505</v>
      </c>
      <c r="L13" s="5">
        <f t="shared" si="1"/>
        <v>0.42721088435374149</v>
      </c>
      <c r="M13" s="5">
        <f t="shared" si="2"/>
        <v>0.68791208791208791</v>
      </c>
      <c r="O13">
        <f t="shared" ca="1" si="3"/>
        <v>0.95</v>
      </c>
      <c r="P13">
        <f t="shared" ca="1" si="4"/>
        <v>323</v>
      </c>
    </row>
    <row r="14" spans="1:16" x14ac:dyDescent="0.3">
      <c r="A14" s="1">
        <v>11</v>
      </c>
      <c r="B14" s="3">
        <v>8451</v>
      </c>
      <c r="C14" s="3">
        <v>3023</v>
      </c>
      <c r="D14" s="2">
        <f>66*60+26.2</f>
        <v>3986.2</v>
      </c>
      <c r="E14" s="2">
        <v>2375</v>
      </c>
      <c r="F14" s="2">
        <v>758</v>
      </c>
      <c r="G14" s="1">
        <f>29*60+30.3</f>
        <v>1770.3</v>
      </c>
      <c r="H14" s="1">
        <v>1967</v>
      </c>
      <c r="I14" s="1">
        <v>1872</v>
      </c>
      <c r="J14" s="4">
        <f t="shared" si="0"/>
        <v>0.28103183055259734</v>
      </c>
      <c r="K14" s="4">
        <f t="shared" si="0"/>
        <v>0.2507442937479325</v>
      </c>
      <c r="L14" s="5">
        <f t="shared" si="1"/>
        <v>0.23275352029345639</v>
      </c>
      <c r="M14" s="5">
        <f t="shared" si="2"/>
        <v>0.61925239827985445</v>
      </c>
      <c r="O14">
        <f t="shared" ca="1" si="3"/>
        <v>0.85</v>
      </c>
      <c r="P14">
        <f t="shared" ca="1" si="4"/>
        <v>2019</v>
      </c>
    </row>
    <row r="15" spans="1:16" x14ac:dyDescent="0.3">
      <c r="A15" s="1">
        <v>12</v>
      </c>
      <c r="B15" s="3">
        <v>31199</v>
      </c>
      <c r="C15" s="3">
        <v>13152</v>
      </c>
      <c r="D15" s="2">
        <f>795*60+30.8</f>
        <v>47730.8</v>
      </c>
      <c r="E15" s="2">
        <v>16206</v>
      </c>
      <c r="F15" s="2">
        <v>3621</v>
      </c>
      <c r="G15" s="1">
        <f>183*60+3.7</f>
        <v>10983.7</v>
      </c>
      <c r="H15" s="1">
        <v>9681</v>
      </c>
      <c r="I15" s="1">
        <v>9296</v>
      </c>
      <c r="J15" s="4">
        <f t="shared" si="0"/>
        <v>0.51943972563223184</v>
      </c>
      <c r="K15" s="4">
        <f t="shared" si="0"/>
        <v>0.27531934306569344</v>
      </c>
      <c r="L15" s="5">
        <f t="shared" si="1"/>
        <v>0.31029840700022437</v>
      </c>
      <c r="M15" s="5">
        <f t="shared" si="2"/>
        <v>0.70681265206812649</v>
      </c>
      <c r="O15">
        <f t="shared" ca="1" si="3"/>
        <v>0.91</v>
      </c>
      <c r="P15">
        <f t="shared" ca="1" si="4"/>
        <v>14748</v>
      </c>
    </row>
    <row r="16" spans="1:16" x14ac:dyDescent="0.3">
      <c r="A16" s="1">
        <v>13</v>
      </c>
      <c r="B16" s="3">
        <v>4516</v>
      </c>
      <c r="C16" s="3">
        <v>1876</v>
      </c>
      <c r="D16" s="2">
        <f>26*60+49.4</f>
        <v>1609.4</v>
      </c>
      <c r="E16" s="2">
        <v>2311</v>
      </c>
      <c r="F16" s="2">
        <v>646</v>
      </c>
      <c r="G16" s="1">
        <f>9*60+3.9</f>
        <v>543.9</v>
      </c>
      <c r="H16" s="1">
        <v>1285</v>
      </c>
      <c r="I16" s="1">
        <v>1264</v>
      </c>
      <c r="J16" s="4">
        <f t="shared" si="0"/>
        <v>0.51173604960141716</v>
      </c>
      <c r="K16" s="4">
        <f t="shared" si="0"/>
        <v>0.34434968017057571</v>
      </c>
      <c r="L16" s="5">
        <f t="shared" si="1"/>
        <v>0.28454384410983169</v>
      </c>
      <c r="M16" s="5">
        <f t="shared" si="2"/>
        <v>0.67377398720682302</v>
      </c>
      <c r="O16">
        <f t="shared" ca="1" si="3"/>
        <v>0.96</v>
      </c>
      <c r="P16">
        <f t="shared" ca="1" si="4"/>
        <v>2219</v>
      </c>
    </row>
    <row r="17" spans="1:16" x14ac:dyDescent="0.3">
      <c r="A17" s="1">
        <v>14</v>
      </c>
      <c r="B17" s="3">
        <v>13051</v>
      </c>
      <c r="C17" s="3">
        <v>4824</v>
      </c>
      <c r="D17" s="2">
        <f>139*60+19.6</f>
        <v>8359.6</v>
      </c>
      <c r="E17" s="2">
        <v>6530</v>
      </c>
      <c r="F17" s="2">
        <v>1667</v>
      </c>
      <c r="G17" s="1">
        <f>31*60+32.6</f>
        <v>1892.6</v>
      </c>
      <c r="H17" s="1">
        <v>3925</v>
      </c>
      <c r="I17" s="1">
        <v>3764</v>
      </c>
      <c r="J17" s="4">
        <f t="shared" si="0"/>
        <v>0.50034480116466173</v>
      </c>
      <c r="K17" s="4">
        <f t="shared" si="0"/>
        <v>0.34556384742951907</v>
      </c>
      <c r="L17" s="5">
        <f t="shared" si="1"/>
        <v>0.30074323806604858</v>
      </c>
      <c r="M17" s="5">
        <f t="shared" si="2"/>
        <v>0.78026533996683245</v>
      </c>
      <c r="O17">
        <f t="shared" ca="1" si="3"/>
        <v>0.96</v>
      </c>
      <c r="P17">
        <f t="shared" ca="1" si="4"/>
        <v>6269</v>
      </c>
    </row>
    <row r="18" spans="1:16" x14ac:dyDescent="0.3">
      <c r="A18" s="1">
        <v>15</v>
      </c>
      <c r="B18" s="3">
        <v>1462</v>
      </c>
      <c r="C18" s="3">
        <v>941</v>
      </c>
      <c r="D18" s="2">
        <f>6*60+41.8</f>
        <v>401.8</v>
      </c>
      <c r="E18" s="2">
        <v>704</v>
      </c>
      <c r="F18" s="2">
        <v>309</v>
      </c>
      <c r="G18" s="1">
        <f>2*60+26.6</f>
        <v>146.6</v>
      </c>
      <c r="H18" s="1">
        <v>602</v>
      </c>
      <c r="I18" s="1">
        <v>585</v>
      </c>
      <c r="J18" s="4">
        <f t="shared" si="0"/>
        <v>0.48153214774281805</v>
      </c>
      <c r="K18" s="4">
        <f t="shared" si="0"/>
        <v>0.3283740701381509</v>
      </c>
      <c r="L18" s="5">
        <f t="shared" si="1"/>
        <v>0.41176470588235292</v>
      </c>
      <c r="M18" s="5">
        <f t="shared" si="2"/>
        <v>0.62167906482465463</v>
      </c>
      <c r="O18">
        <f t="shared" ca="1" si="3"/>
        <v>0.86</v>
      </c>
      <c r="P18">
        <f t="shared" ca="1" si="4"/>
        <v>606</v>
      </c>
    </row>
    <row r="19" spans="1:16" x14ac:dyDescent="0.3">
      <c r="A19" s="1">
        <v>16</v>
      </c>
      <c r="B19" s="3">
        <v>538</v>
      </c>
      <c r="C19" s="3">
        <v>430</v>
      </c>
      <c r="D19" s="2">
        <v>51.3</v>
      </c>
      <c r="E19" s="2">
        <v>339</v>
      </c>
      <c r="F19" s="2">
        <v>167</v>
      </c>
      <c r="G19" s="1">
        <v>30.3</v>
      </c>
      <c r="H19" s="1">
        <v>280</v>
      </c>
      <c r="I19" s="1">
        <v>276</v>
      </c>
      <c r="J19" s="4">
        <f t="shared" si="0"/>
        <v>0.63011152416356875</v>
      </c>
      <c r="K19" s="4">
        <f t="shared" si="0"/>
        <v>0.38837209302325582</v>
      </c>
      <c r="L19" s="5">
        <f t="shared" si="1"/>
        <v>0.5204460966542751</v>
      </c>
      <c r="M19" s="5">
        <f t="shared" si="2"/>
        <v>0.64186046511627903</v>
      </c>
      <c r="O19">
        <f t="shared" ca="1" si="3"/>
        <v>0.98</v>
      </c>
      <c r="P19">
        <f t="shared" ca="1" si="4"/>
        <v>333</v>
      </c>
    </row>
    <row r="20" spans="1:16" x14ac:dyDescent="0.3">
      <c r="A20" s="1">
        <v>17</v>
      </c>
      <c r="B20" s="3">
        <v>4390</v>
      </c>
      <c r="C20" s="3">
        <v>2368</v>
      </c>
      <c r="D20" s="2">
        <f>30*60+31.4</f>
        <v>1831.4</v>
      </c>
      <c r="E20" s="2">
        <v>1946</v>
      </c>
      <c r="F20" s="2">
        <v>668</v>
      </c>
      <c r="G20" s="1">
        <f>12*60+33.2</f>
        <v>753.2</v>
      </c>
      <c r="H20" s="1">
        <v>1392</v>
      </c>
      <c r="I20" s="1">
        <v>1355</v>
      </c>
      <c r="J20" s="4">
        <f t="shared" si="0"/>
        <v>0.44328018223234622</v>
      </c>
      <c r="K20" s="4">
        <f t="shared" si="0"/>
        <v>0.28209459459459457</v>
      </c>
      <c r="L20" s="5">
        <f t="shared" si="1"/>
        <v>0.3170842824601367</v>
      </c>
      <c r="M20" s="5">
        <f t="shared" si="2"/>
        <v>0.57221283783783783</v>
      </c>
      <c r="O20">
        <f t="shared" ca="1" si="3"/>
        <v>0.93</v>
      </c>
      <c r="P20">
        <f t="shared" ca="1" si="4"/>
        <v>1810</v>
      </c>
    </row>
    <row r="21" spans="1:16" x14ac:dyDescent="0.3">
      <c r="A21" s="1">
        <v>18</v>
      </c>
      <c r="B21" s="3">
        <v>30448</v>
      </c>
      <c r="C21" s="3">
        <v>12218</v>
      </c>
      <c r="D21" s="2">
        <f>658*60+2.3</f>
        <v>39482.300000000003</v>
      </c>
      <c r="E21" s="2">
        <v>17054</v>
      </c>
      <c r="F21" s="2">
        <v>3478</v>
      </c>
      <c r="G21" s="1">
        <f>266*60+23.4</f>
        <v>15983.4</v>
      </c>
      <c r="H21" s="1">
        <v>8972</v>
      </c>
      <c r="I21" s="1">
        <v>8658</v>
      </c>
      <c r="J21" s="4">
        <f t="shared" si="0"/>
        <v>0.56010246978455069</v>
      </c>
      <c r="K21" s="4">
        <f t="shared" si="0"/>
        <v>0.28466197413651989</v>
      </c>
      <c r="L21" s="5">
        <f t="shared" si="1"/>
        <v>0.29466631634261692</v>
      </c>
      <c r="M21" s="5">
        <f t="shared" si="2"/>
        <v>0.70862661646750691</v>
      </c>
      <c r="O21">
        <f t="shared" ca="1" si="3"/>
        <v>0.98</v>
      </c>
      <c r="P21">
        <f t="shared" ca="1" si="4"/>
        <v>16713</v>
      </c>
    </row>
    <row r="22" spans="1:16" x14ac:dyDescent="0.3">
      <c r="A22" s="1">
        <v>19</v>
      </c>
      <c r="B22" s="3">
        <v>4389</v>
      </c>
      <c r="C22" s="3">
        <v>1908</v>
      </c>
      <c r="D22" s="2">
        <f>25*60+29.7</f>
        <v>1529.7</v>
      </c>
      <c r="E22" s="2">
        <v>2346</v>
      </c>
      <c r="F22" s="2">
        <v>666</v>
      </c>
      <c r="G22" s="1">
        <f>9*60+40.7</f>
        <v>580.70000000000005</v>
      </c>
      <c r="H22" s="1">
        <v>1294</v>
      </c>
      <c r="I22" s="1">
        <v>1267</v>
      </c>
      <c r="J22" s="4">
        <f t="shared" si="0"/>
        <v>0.53451811346548184</v>
      </c>
      <c r="K22" s="4">
        <f t="shared" si="0"/>
        <v>0.34905660377358488</v>
      </c>
      <c r="L22" s="5">
        <f t="shared" si="1"/>
        <v>0.29482797903850533</v>
      </c>
      <c r="M22" s="5">
        <f t="shared" si="2"/>
        <v>0.66404612159329135</v>
      </c>
      <c r="O22">
        <f t="shared" ca="1" si="3"/>
        <v>0.92</v>
      </c>
      <c r="P22">
        <f t="shared" ca="1" si="4"/>
        <v>2159</v>
      </c>
    </row>
    <row r="23" spans="1:16" x14ac:dyDescent="0.3">
      <c r="A23" s="1">
        <v>20</v>
      </c>
      <c r="B23" s="3">
        <v>13076</v>
      </c>
      <c r="C23" s="3">
        <v>4905</v>
      </c>
      <c r="D23" s="2">
        <f>148*60+37.8</f>
        <v>8917.7999999999993</v>
      </c>
      <c r="E23" s="2">
        <v>6739</v>
      </c>
      <c r="F23" s="2">
        <v>1696</v>
      </c>
      <c r="G23" s="1">
        <f>59*60+50.8</f>
        <v>3590.8</v>
      </c>
      <c r="H23" s="1">
        <v>3967</v>
      </c>
      <c r="I23" s="1">
        <v>3843</v>
      </c>
      <c r="J23" s="4">
        <f t="shared" si="0"/>
        <v>0.51537167329458555</v>
      </c>
      <c r="K23" s="4">
        <f t="shared" si="0"/>
        <v>0.34576962283384299</v>
      </c>
      <c r="L23" s="5">
        <f t="shared" si="1"/>
        <v>0.30338023860507801</v>
      </c>
      <c r="M23" s="5">
        <f t="shared" si="2"/>
        <v>0.78348623853211008</v>
      </c>
      <c r="O23">
        <f t="shared" ca="1" si="3"/>
        <v>0.95</v>
      </c>
      <c r="P23">
        <f t="shared" ca="1" si="4"/>
        <v>6403</v>
      </c>
    </row>
    <row r="24" spans="1:16" x14ac:dyDescent="0.3">
      <c r="A24" s="1">
        <v>21</v>
      </c>
      <c r="B24" s="3">
        <v>1376</v>
      </c>
      <c r="C24" s="3">
        <v>959</v>
      </c>
      <c r="D24" s="2">
        <v>612</v>
      </c>
      <c r="E24" s="2">
        <v>604</v>
      </c>
      <c r="F24" s="2">
        <v>290</v>
      </c>
      <c r="G24" s="1">
        <f>2*60+33.5</f>
        <v>153.5</v>
      </c>
      <c r="H24" s="1">
        <v>499</v>
      </c>
      <c r="I24" s="1">
        <v>489</v>
      </c>
      <c r="J24" s="4">
        <f t="shared" si="0"/>
        <v>0.43895348837209303</v>
      </c>
      <c r="K24" s="4">
        <f t="shared" si="0"/>
        <v>0.30239833159541191</v>
      </c>
      <c r="L24" s="5">
        <f t="shared" si="1"/>
        <v>0.36264534883720928</v>
      </c>
      <c r="M24" s="5">
        <f t="shared" si="2"/>
        <v>0.50990615224191871</v>
      </c>
      <c r="O24">
        <f t="shared" ca="1" si="3"/>
        <v>0.87</v>
      </c>
      <c r="P24">
        <f t="shared" ca="1" si="4"/>
        <v>526</v>
      </c>
    </row>
    <row r="25" spans="1:16" x14ac:dyDescent="0.3">
      <c r="A25" s="1">
        <v>22</v>
      </c>
      <c r="B25" s="3">
        <v>539</v>
      </c>
      <c r="C25" s="3">
        <v>396</v>
      </c>
      <c r="D25" s="2">
        <v>51.8</v>
      </c>
      <c r="E25" s="2">
        <v>329</v>
      </c>
      <c r="F25" s="2">
        <v>146</v>
      </c>
      <c r="G25" s="1">
        <v>27.7</v>
      </c>
      <c r="H25" s="1">
        <v>255</v>
      </c>
      <c r="I25" s="1">
        <v>253</v>
      </c>
      <c r="J25" s="4">
        <f t="shared" si="0"/>
        <v>0.61038961038961037</v>
      </c>
      <c r="K25" s="4">
        <f t="shared" si="0"/>
        <v>0.36868686868686867</v>
      </c>
      <c r="L25" s="5">
        <f t="shared" si="1"/>
        <v>0.47309833024118736</v>
      </c>
      <c r="M25" s="5">
        <f t="shared" si="2"/>
        <v>0.63888888888888884</v>
      </c>
      <c r="O25">
        <f t="shared" ca="1" si="3"/>
        <v>0.95</v>
      </c>
      <c r="P25">
        <f t="shared" ca="1" si="4"/>
        <v>313</v>
      </c>
    </row>
    <row r="26" spans="1:16" x14ac:dyDescent="0.3">
      <c r="A26" s="1">
        <v>23</v>
      </c>
      <c r="B26" s="3">
        <v>4387</v>
      </c>
      <c r="C26" s="3">
        <v>2111</v>
      </c>
      <c r="D26" s="2">
        <f>23*60+52.7</f>
        <v>1432.7</v>
      </c>
      <c r="E26" s="2">
        <v>1866</v>
      </c>
      <c r="F26" s="2">
        <v>541</v>
      </c>
      <c r="G26" s="1">
        <f>17*60+38.7</f>
        <v>1058.7</v>
      </c>
      <c r="H26" s="1">
        <v>1261</v>
      </c>
      <c r="I26" s="1">
        <v>1228</v>
      </c>
      <c r="J26" s="4">
        <f t="shared" si="0"/>
        <v>0.42534761796216092</v>
      </c>
      <c r="K26" s="4">
        <f t="shared" si="0"/>
        <v>0.25627664613927048</v>
      </c>
      <c r="L26" s="5">
        <f t="shared" si="1"/>
        <v>0.28744016412126738</v>
      </c>
      <c r="M26" s="5">
        <f t="shared" si="2"/>
        <v>0.58171482709616296</v>
      </c>
      <c r="O26">
        <f t="shared" ca="1" si="3"/>
        <v>0.94</v>
      </c>
      <c r="P26">
        <f t="shared" ca="1" si="4"/>
        <v>1755</v>
      </c>
    </row>
    <row r="29" spans="1:16" x14ac:dyDescent="0.3">
      <c r="D29" s="11" t="s">
        <v>0</v>
      </c>
      <c r="E29" s="11"/>
      <c r="F29" s="11"/>
      <c r="G29" s="11" t="s">
        <v>11</v>
      </c>
      <c r="H29" s="11"/>
      <c r="I29" s="11"/>
      <c r="J29" s="11" t="s">
        <v>0</v>
      </c>
      <c r="K29" s="11"/>
      <c r="L29" s="11" t="s">
        <v>11</v>
      </c>
      <c r="M29" s="11"/>
    </row>
    <row r="30" spans="1:16" x14ac:dyDescent="0.3">
      <c r="A30" s="1" t="s">
        <v>2</v>
      </c>
      <c r="B30" s="3" t="s">
        <v>3</v>
      </c>
      <c r="C30" s="3" t="s">
        <v>4</v>
      </c>
      <c r="D30" s="2" t="s">
        <v>7</v>
      </c>
      <c r="E30" s="2" t="s">
        <v>5</v>
      </c>
      <c r="F30" s="2" t="s">
        <v>1</v>
      </c>
      <c r="G30" s="1" t="s">
        <v>8</v>
      </c>
      <c r="H30" s="1" t="s">
        <v>6</v>
      </c>
      <c r="I30" s="1" t="s">
        <v>1</v>
      </c>
      <c r="J30" s="2" t="s">
        <v>9</v>
      </c>
      <c r="K30" s="2" t="s">
        <v>10</v>
      </c>
      <c r="L30" s="1" t="s">
        <v>9</v>
      </c>
      <c r="M30" s="1" t="s">
        <v>10</v>
      </c>
    </row>
    <row r="31" spans="1:16" x14ac:dyDescent="0.3">
      <c r="A31" s="1">
        <v>0</v>
      </c>
      <c r="B31" s="3">
        <v>56420</v>
      </c>
      <c r="C31" s="3">
        <v>16710</v>
      </c>
      <c r="D31" s="2">
        <f>2177*60+0.8</f>
        <v>130620.8</v>
      </c>
      <c r="E31" s="2">
        <v>23134</v>
      </c>
      <c r="F31" s="2">
        <v>4674</v>
      </c>
      <c r="G31" s="1">
        <f>248*60+11.4</f>
        <v>14891.4</v>
      </c>
      <c r="H31" s="1">
        <v>22672</v>
      </c>
      <c r="I31" s="1">
        <v>15077</v>
      </c>
      <c r="J31" s="4">
        <f>E31/B31</f>
        <v>0.41003190358029068</v>
      </c>
      <c r="K31" s="4">
        <f>F31/C31</f>
        <v>0.27971274685816877</v>
      </c>
      <c r="L31" s="5">
        <f>H31/B31</f>
        <v>0.40184331797235023</v>
      </c>
      <c r="M31" s="5">
        <f>I31/C31</f>
        <v>0.90227408737283066</v>
      </c>
    </row>
    <row r="32" spans="1:16" x14ac:dyDescent="0.3">
      <c r="A32" s="1">
        <v>1</v>
      </c>
      <c r="B32" s="3">
        <v>2959</v>
      </c>
      <c r="C32" s="3">
        <v>1185</v>
      </c>
      <c r="D32" s="2">
        <f>26*60+27.4</f>
        <v>1587.4</v>
      </c>
      <c r="E32" s="2">
        <v>997</v>
      </c>
      <c r="F32" s="2">
        <v>375</v>
      </c>
      <c r="G32" s="1">
        <f>6*60+16.1</f>
        <v>376.1</v>
      </c>
      <c r="H32" s="1">
        <v>928</v>
      </c>
      <c r="I32" s="1">
        <v>704</v>
      </c>
      <c r="J32" s="4">
        <f t="shared" ref="J32:J54" si="5">E32/B32</f>
        <v>0.33693815478202094</v>
      </c>
      <c r="K32" s="4">
        <f t="shared" ref="K32:K54" si="6">F32/C32</f>
        <v>0.31645569620253167</v>
      </c>
      <c r="L32" s="5">
        <f t="shared" ref="L32:L54" si="7">H32/B32</f>
        <v>0.31361946603582291</v>
      </c>
      <c r="M32" s="5">
        <f t="shared" ref="M32:M54" si="8">I32/C32</f>
        <v>0.59409282700421939</v>
      </c>
    </row>
    <row r="33" spans="1:13" x14ac:dyDescent="0.3">
      <c r="A33" s="1">
        <v>2</v>
      </c>
      <c r="B33" s="3">
        <v>24720</v>
      </c>
      <c r="C33" s="3">
        <v>6570</v>
      </c>
      <c r="D33" s="2">
        <f>372*60+7.1</f>
        <v>22327.1</v>
      </c>
      <c r="E33" s="2">
        <v>9529</v>
      </c>
      <c r="F33" s="2">
        <v>2210</v>
      </c>
      <c r="G33" s="1">
        <f>43*60+54.2</f>
        <v>2634.2</v>
      </c>
      <c r="H33" s="1">
        <v>8862</v>
      </c>
      <c r="I33" s="1">
        <v>6062</v>
      </c>
      <c r="J33" s="4">
        <f t="shared" si="5"/>
        <v>0.38547734627831715</v>
      </c>
      <c r="K33" s="4">
        <f t="shared" si="6"/>
        <v>0.33637747336377471</v>
      </c>
      <c r="L33" s="5">
        <f t="shared" si="7"/>
        <v>0.35849514563106794</v>
      </c>
      <c r="M33" s="5">
        <f t="shared" si="8"/>
        <v>0.92267884322678839</v>
      </c>
    </row>
    <row r="34" spans="1:13" x14ac:dyDescent="0.3">
      <c r="A34" s="1">
        <v>3</v>
      </c>
      <c r="B34" s="3">
        <v>2959</v>
      </c>
      <c r="C34" s="3">
        <v>1185</v>
      </c>
      <c r="D34" s="2">
        <f>16*60+46.3</f>
        <v>1006.3</v>
      </c>
      <c r="E34" s="2">
        <v>997</v>
      </c>
      <c r="F34" s="2">
        <v>375</v>
      </c>
      <c r="G34" s="1">
        <f>3*60+59.3</f>
        <v>239.3</v>
      </c>
      <c r="H34" s="1">
        <v>946</v>
      </c>
      <c r="I34" s="1">
        <v>908</v>
      </c>
      <c r="J34" s="4">
        <f t="shared" si="5"/>
        <v>0.33693815478202094</v>
      </c>
      <c r="K34" s="4">
        <f t="shared" si="6"/>
        <v>0.31645569620253167</v>
      </c>
      <c r="L34" s="5">
        <f t="shared" si="7"/>
        <v>0.31970260223048325</v>
      </c>
      <c r="M34" s="5">
        <f t="shared" si="8"/>
        <v>0.76624472573839664</v>
      </c>
    </row>
    <row r="35" spans="1:13" x14ac:dyDescent="0.3">
      <c r="A35" s="1">
        <v>4</v>
      </c>
      <c r="B35" s="3">
        <v>844</v>
      </c>
      <c r="C35" s="3">
        <v>415</v>
      </c>
      <c r="D35" s="2">
        <f>60+51.5</f>
        <v>111.5</v>
      </c>
      <c r="E35" s="2">
        <v>318</v>
      </c>
      <c r="F35" s="2">
        <v>157</v>
      </c>
      <c r="G35" s="1">
        <v>33.6</v>
      </c>
      <c r="H35" s="1">
        <v>312</v>
      </c>
      <c r="I35" s="1">
        <v>312</v>
      </c>
      <c r="J35" s="4">
        <f t="shared" si="5"/>
        <v>0.37677725118483413</v>
      </c>
      <c r="K35" s="4">
        <f t="shared" si="6"/>
        <v>0.37831325301204821</v>
      </c>
      <c r="L35" s="5">
        <f t="shared" si="7"/>
        <v>0.36966824644549762</v>
      </c>
      <c r="M35" s="5">
        <f t="shared" si="8"/>
        <v>0.75180722891566265</v>
      </c>
    </row>
    <row r="36" spans="1:13" x14ac:dyDescent="0.3">
      <c r="A36" s="1">
        <v>5</v>
      </c>
      <c r="B36" s="3">
        <v>9115</v>
      </c>
      <c r="C36" s="3">
        <v>2803</v>
      </c>
      <c r="D36" s="2">
        <f>69*60+27.2</f>
        <v>4167.2</v>
      </c>
      <c r="E36" s="2">
        <v>2370</v>
      </c>
      <c r="F36" s="2">
        <v>684</v>
      </c>
      <c r="G36" s="1">
        <f>23*60+32</f>
        <v>1412</v>
      </c>
      <c r="H36" s="1">
        <v>2323</v>
      </c>
      <c r="I36" s="1">
        <v>2139</v>
      </c>
      <c r="J36" s="4">
        <f t="shared" si="5"/>
        <v>0.26001097092704334</v>
      </c>
      <c r="K36" s="4">
        <f t="shared" si="6"/>
        <v>0.24402425972172673</v>
      </c>
      <c r="L36" s="5">
        <f t="shared" si="7"/>
        <v>0.25485463521667578</v>
      </c>
      <c r="M36" s="5">
        <f t="shared" si="8"/>
        <v>0.76311095255083838</v>
      </c>
    </row>
    <row r="37" spans="1:13" x14ac:dyDescent="0.3">
      <c r="A37" s="1">
        <v>6</v>
      </c>
      <c r="B37" s="3">
        <v>59167</v>
      </c>
      <c r="C37" s="3">
        <v>16782</v>
      </c>
      <c r="D37" s="2">
        <f>1862*60+26.3</f>
        <v>111746.3</v>
      </c>
      <c r="E37" s="2">
        <v>25353</v>
      </c>
      <c r="F37" s="2">
        <v>4678</v>
      </c>
      <c r="G37" s="1">
        <f>224*60+46.4</f>
        <v>13486.4</v>
      </c>
      <c r="H37" s="1">
        <v>22565</v>
      </c>
      <c r="I37" s="1">
        <v>14484</v>
      </c>
      <c r="J37" s="4">
        <f t="shared" si="5"/>
        <v>0.42849899437186267</v>
      </c>
      <c r="K37" s="4">
        <f t="shared" si="6"/>
        <v>0.27875104278393514</v>
      </c>
      <c r="L37" s="5">
        <f t="shared" si="7"/>
        <v>0.38137813308094037</v>
      </c>
      <c r="M37" s="5">
        <f t="shared" si="8"/>
        <v>0.86306757239899889</v>
      </c>
    </row>
    <row r="38" spans="1:13" x14ac:dyDescent="0.3">
      <c r="A38" s="1">
        <v>7</v>
      </c>
      <c r="B38" s="3">
        <v>7357</v>
      </c>
      <c r="C38" s="3">
        <v>2643</v>
      </c>
      <c r="D38" s="2">
        <f>59*60+45.5</f>
        <v>3585.5</v>
      </c>
      <c r="E38" s="2">
        <v>2654</v>
      </c>
      <c r="F38" s="2">
        <v>973</v>
      </c>
      <c r="G38" s="1">
        <f>21*60+21.4</f>
        <v>1281.4000000000001</v>
      </c>
      <c r="H38" s="1">
        <v>2548</v>
      </c>
      <c r="I38" s="1">
        <v>1919</v>
      </c>
      <c r="J38" s="4">
        <f t="shared" si="5"/>
        <v>0.36074486883240453</v>
      </c>
      <c r="K38" s="4">
        <f t="shared" si="6"/>
        <v>0.36814226258040106</v>
      </c>
      <c r="L38" s="5">
        <f t="shared" si="7"/>
        <v>0.34633682207421501</v>
      </c>
      <c r="M38" s="5">
        <f t="shared" si="8"/>
        <v>0.72606886114264091</v>
      </c>
    </row>
    <row r="39" spans="1:13" x14ac:dyDescent="0.3">
      <c r="A39" s="1">
        <v>8</v>
      </c>
      <c r="B39" s="3">
        <v>23155</v>
      </c>
      <c r="C39" s="3">
        <v>6851</v>
      </c>
      <c r="D39" s="2">
        <f>442*60+52.7</f>
        <v>26572.7</v>
      </c>
      <c r="E39" s="2">
        <v>8849</v>
      </c>
      <c r="F39" s="2">
        <v>2115</v>
      </c>
      <c r="G39" s="1">
        <f>85*60+8.7</f>
        <v>5108.7</v>
      </c>
      <c r="H39" s="1">
        <v>8142</v>
      </c>
      <c r="I39" s="1">
        <v>5737</v>
      </c>
      <c r="J39" s="4">
        <f t="shared" si="5"/>
        <v>0.38216367955085295</v>
      </c>
      <c r="K39" s="4">
        <f t="shared" si="6"/>
        <v>0.30871405634213983</v>
      </c>
      <c r="L39" s="5">
        <f t="shared" si="7"/>
        <v>0.35163031742604189</v>
      </c>
      <c r="M39" s="5">
        <f t="shared" si="8"/>
        <v>0.83739600058385633</v>
      </c>
    </row>
    <row r="40" spans="1:13" x14ac:dyDescent="0.3">
      <c r="A40" s="1">
        <v>9</v>
      </c>
      <c r="B40" s="3">
        <v>2407</v>
      </c>
      <c r="C40" s="3">
        <v>1156</v>
      </c>
      <c r="D40" s="2">
        <v>641.70000000000005</v>
      </c>
      <c r="E40" s="2">
        <v>941</v>
      </c>
      <c r="F40" s="2">
        <v>380</v>
      </c>
      <c r="G40" s="1">
        <f>4*60+36.5</f>
        <v>276.5</v>
      </c>
      <c r="H40" s="1">
        <v>819</v>
      </c>
      <c r="I40" s="1">
        <v>809</v>
      </c>
      <c r="J40" s="4">
        <f t="shared" si="5"/>
        <v>0.39094308267552969</v>
      </c>
      <c r="K40" s="4">
        <f t="shared" si="6"/>
        <v>0.32871972318339099</v>
      </c>
      <c r="L40" s="5">
        <f t="shared" si="7"/>
        <v>0.3402575820523473</v>
      </c>
      <c r="M40" s="5">
        <f t="shared" si="8"/>
        <v>0.69982698961937717</v>
      </c>
    </row>
    <row r="41" spans="1:13" x14ac:dyDescent="0.3">
      <c r="A41" s="1">
        <v>10</v>
      </c>
      <c r="B41" s="3">
        <v>735</v>
      </c>
      <c r="C41" s="3">
        <v>455</v>
      </c>
      <c r="D41" s="2">
        <v>85.8</v>
      </c>
      <c r="E41" s="2">
        <v>340</v>
      </c>
      <c r="F41" s="2">
        <v>157</v>
      </c>
      <c r="G41" s="1">
        <v>53.5</v>
      </c>
      <c r="H41" s="1">
        <v>314</v>
      </c>
      <c r="I41" s="1">
        <v>313</v>
      </c>
      <c r="J41" s="4">
        <f t="shared" si="5"/>
        <v>0.46258503401360546</v>
      </c>
      <c r="K41" s="4">
        <f t="shared" si="6"/>
        <v>0.34505494505494505</v>
      </c>
      <c r="L41" s="5">
        <f t="shared" si="7"/>
        <v>0.42721088435374149</v>
      </c>
      <c r="M41" s="5">
        <f t="shared" si="8"/>
        <v>0.68791208791208791</v>
      </c>
    </row>
    <row r="42" spans="1:13" x14ac:dyDescent="0.3">
      <c r="A42" s="1">
        <v>11</v>
      </c>
      <c r="B42" s="3">
        <v>8451</v>
      </c>
      <c r="C42" s="3">
        <v>3023</v>
      </c>
      <c r="D42" s="2">
        <f>66*60+26.2</f>
        <v>3986.2</v>
      </c>
      <c r="E42" s="2">
        <v>2375</v>
      </c>
      <c r="F42" s="2">
        <v>758</v>
      </c>
      <c r="G42" s="1">
        <f>29*60+30.3</f>
        <v>1770.3</v>
      </c>
      <c r="H42" s="1">
        <v>2138</v>
      </c>
      <c r="I42" s="1">
        <v>1872</v>
      </c>
      <c r="J42" s="4">
        <f t="shared" si="5"/>
        <v>0.28103183055259734</v>
      </c>
      <c r="K42" s="4">
        <f t="shared" si="6"/>
        <v>0.2507442937479325</v>
      </c>
      <c r="L42" s="5">
        <f t="shared" si="7"/>
        <v>0.25298781209324339</v>
      </c>
      <c r="M42" s="5">
        <f t="shared" si="8"/>
        <v>0.61925239827985445</v>
      </c>
    </row>
    <row r="43" spans="1:13" x14ac:dyDescent="0.3">
      <c r="A43" s="1">
        <v>12</v>
      </c>
      <c r="B43" s="3">
        <v>31199</v>
      </c>
      <c r="C43" s="3">
        <v>13152</v>
      </c>
      <c r="D43" s="2">
        <f>795*60+30.8</f>
        <v>47730.8</v>
      </c>
      <c r="E43" s="2">
        <v>16206</v>
      </c>
      <c r="F43" s="2">
        <v>3621</v>
      </c>
      <c r="G43" s="1">
        <f>183*60+3.7</f>
        <v>10983.7</v>
      </c>
      <c r="H43" s="1">
        <v>14100</v>
      </c>
      <c r="I43" s="1">
        <v>9296</v>
      </c>
      <c r="J43" s="4">
        <f t="shared" si="5"/>
        <v>0.51943972563223184</v>
      </c>
      <c r="K43" s="4">
        <f t="shared" si="6"/>
        <v>0.27531934306569344</v>
      </c>
      <c r="L43" s="5">
        <f t="shared" si="7"/>
        <v>0.45193756210134939</v>
      </c>
      <c r="M43" s="5">
        <f t="shared" si="8"/>
        <v>0.70681265206812649</v>
      </c>
    </row>
    <row r="44" spans="1:13" x14ac:dyDescent="0.3">
      <c r="A44" s="1">
        <v>13</v>
      </c>
      <c r="B44" s="3">
        <v>4516</v>
      </c>
      <c r="C44" s="3">
        <v>1876</v>
      </c>
      <c r="D44" s="2">
        <f>26*60+49.4</f>
        <v>1609.4</v>
      </c>
      <c r="E44" s="2">
        <v>2311</v>
      </c>
      <c r="F44" s="2">
        <v>646</v>
      </c>
      <c r="G44" s="1">
        <f>9*60+3.9</f>
        <v>543.9</v>
      </c>
      <c r="H44" s="1">
        <v>2219</v>
      </c>
      <c r="I44" s="1">
        <v>1264</v>
      </c>
      <c r="J44" s="4">
        <f t="shared" si="5"/>
        <v>0.51173604960141716</v>
      </c>
      <c r="K44" s="4">
        <f t="shared" si="6"/>
        <v>0.34434968017057571</v>
      </c>
      <c r="L44" s="5">
        <f t="shared" si="7"/>
        <v>0.49136403897254205</v>
      </c>
      <c r="M44" s="5">
        <f t="shared" si="8"/>
        <v>0.67377398720682302</v>
      </c>
    </row>
    <row r="45" spans="1:13" x14ac:dyDescent="0.3">
      <c r="A45" s="1">
        <v>14</v>
      </c>
      <c r="B45" s="3">
        <v>13051</v>
      </c>
      <c r="C45" s="3">
        <v>4824</v>
      </c>
      <c r="D45" s="2">
        <f>139*60+19.6</f>
        <v>8359.6</v>
      </c>
      <c r="E45" s="2">
        <v>6530</v>
      </c>
      <c r="F45" s="2">
        <v>1667</v>
      </c>
      <c r="G45" s="1">
        <f>31*60+32.6</f>
        <v>1892.6</v>
      </c>
      <c r="H45" s="1">
        <v>6139</v>
      </c>
      <c r="I45" s="1">
        <v>3764</v>
      </c>
      <c r="J45" s="4">
        <f t="shared" si="5"/>
        <v>0.50034480116466173</v>
      </c>
      <c r="K45" s="4">
        <f t="shared" si="6"/>
        <v>0.34556384742951907</v>
      </c>
      <c r="L45" s="5">
        <f t="shared" si="7"/>
        <v>0.47038541107961074</v>
      </c>
      <c r="M45" s="5">
        <f t="shared" si="8"/>
        <v>0.78026533996683245</v>
      </c>
    </row>
    <row r="46" spans="1:13" x14ac:dyDescent="0.3">
      <c r="A46" s="1">
        <v>15</v>
      </c>
      <c r="B46" s="3">
        <v>1462</v>
      </c>
      <c r="C46" s="3">
        <v>941</v>
      </c>
      <c r="D46" s="2">
        <f>6*60+41.8</f>
        <v>401.8</v>
      </c>
      <c r="E46" s="2">
        <v>704</v>
      </c>
      <c r="F46" s="2">
        <v>309</v>
      </c>
      <c r="G46" s="1">
        <f>2*60+26.6</f>
        <v>146.6</v>
      </c>
      <c r="H46" s="1">
        <v>690</v>
      </c>
      <c r="I46" s="1">
        <v>585</v>
      </c>
      <c r="J46" s="4">
        <f t="shared" si="5"/>
        <v>0.48153214774281805</v>
      </c>
      <c r="K46" s="4">
        <f t="shared" si="6"/>
        <v>0.3283740701381509</v>
      </c>
      <c r="L46" s="5">
        <f t="shared" si="7"/>
        <v>0.47195622435020518</v>
      </c>
      <c r="M46" s="5">
        <f t="shared" si="8"/>
        <v>0.62167906482465463</v>
      </c>
    </row>
    <row r="47" spans="1:13" x14ac:dyDescent="0.3">
      <c r="A47" s="1">
        <v>16</v>
      </c>
      <c r="B47" s="3">
        <v>538</v>
      </c>
      <c r="C47" s="3">
        <v>430</v>
      </c>
      <c r="D47" s="2">
        <v>51.3</v>
      </c>
      <c r="E47" s="2">
        <v>339</v>
      </c>
      <c r="F47" s="2">
        <v>167</v>
      </c>
      <c r="G47" s="1">
        <v>30.3</v>
      </c>
      <c r="H47" s="1">
        <v>309</v>
      </c>
      <c r="I47" s="1">
        <v>276</v>
      </c>
      <c r="J47" s="4">
        <f t="shared" si="5"/>
        <v>0.63011152416356875</v>
      </c>
      <c r="K47" s="4">
        <f t="shared" si="6"/>
        <v>0.38837209302325582</v>
      </c>
      <c r="L47" s="5">
        <f t="shared" si="7"/>
        <v>0.57434944237918217</v>
      </c>
      <c r="M47" s="5">
        <f t="shared" si="8"/>
        <v>0.64186046511627903</v>
      </c>
    </row>
    <row r="48" spans="1:13" x14ac:dyDescent="0.3">
      <c r="A48" s="1">
        <v>17</v>
      </c>
      <c r="B48" s="3">
        <v>4390</v>
      </c>
      <c r="C48" s="3">
        <v>2368</v>
      </c>
      <c r="D48" s="2">
        <f>30*60+31.4</f>
        <v>1831.4</v>
      </c>
      <c r="E48" s="2">
        <v>1946</v>
      </c>
      <c r="F48" s="2">
        <v>668</v>
      </c>
      <c r="G48" s="1">
        <f>12*60+33.2</f>
        <v>753.2</v>
      </c>
      <c r="H48" s="1">
        <v>1674</v>
      </c>
      <c r="I48" s="1">
        <v>1355</v>
      </c>
      <c r="J48" s="4">
        <f t="shared" si="5"/>
        <v>0.44328018223234622</v>
      </c>
      <c r="K48" s="4">
        <f t="shared" si="6"/>
        <v>0.28209459459459457</v>
      </c>
      <c r="L48" s="5">
        <f t="shared" si="7"/>
        <v>0.38132118451025054</v>
      </c>
      <c r="M48" s="5">
        <f t="shared" si="8"/>
        <v>0.57221283783783783</v>
      </c>
    </row>
    <row r="49" spans="1:13" x14ac:dyDescent="0.3">
      <c r="A49" s="1">
        <v>18</v>
      </c>
      <c r="B49" s="3">
        <v>30448</v>
      </c>
      <c r="C49" s="3">
        <v>12218</v>
      </c>
      <c r="D49" s="2">
        <f>658*60+2.3</f>
        <v>39482.300000000003</v>
      </c>
      <c r="E49" s="2">
        <v>17054</v>
      </c>
      <c r="F49" s="2">
        <v>3478</v>
      </c>
      <c r="G49" s="1">
        <f>266*60+23.4</f>
        <v>15983.4</v>
      </c>
      <c r="H49" s="1">
        <v>14837</v>
      </c>
      <c r="I49" s="1">
        <v>8658</v>
      </c>
      <c r="J49" s="4">
        <f t="shared" si="5"/>
        <v>0.56010246978455069</v>
      </c>
      <c r="K49" s="4">
        <f t="shared" si="6"/>
        <v>0.28466197413651989</v>
      </c>
      <c r="L49" s="5">
        <f t="shared" si="7"/>
        <v>0.48728980557015239</v>
      </c>
      <c r="M49" s="5">
        <f t="shared" si="8"/>
        <v>0.70862661646750691</v>
      </c>
    </row>
    <row r="50" spans="1:13" x14ac:dyDescent="0.3">
      <c r="A50" s="1">
        <v>19</v>
      </c>
      <c r="B50" s="3">
        <v>4389</v>
      </c>
      <c r="C50" s="3">
        <v>1908</v>
      </c>
      <c r="D50" s="2">
        <f>25*60+29.7</f>
        <v>1529.7</v>
      </c>
      <c r="E50" s="2">
        <v>2346</v>
      </c>
      <c r="F50" s="2">
        <v>666</v>
      </c>
      <c r="G50" s="1">
        <f>9*60+40.7</f>
        <v>580.70000000000005</v>
      </c>
      <c r="H50" s="1">
        <v>2065</v>
      </c>
      <c r="I50" s="1">
        <v>1267</v>
      </c>
      <c r="J50" s="4">
        <f t="shared" si="5"/>
        <v>0.53451811346548184</v>
      </c>
      <c r="K50" s="4">
        <f t="shared" si="6"/>
        <v>0.34905660377358488</v>
      </c>
      <c r="L50" s="5">
        <f t="shared" si="7"/>
        <v>0.47049441786283891</v>
      </c>
      <c r="M50" s="5">
        <f t="shared" si="8"/>
        <v>0.66404612159329135</v>
      </c>
    </row>
    <row r="51" spans="1:13" x14ac:dyDescent="0.3">
      <c r="A51" s="1">
        <v>20</v>
      </c>
      <c r="B51" s="3">
        <v>13076</v>
      </c>
      <c r="C51" s="3">
        <v>4905</v>
      </c>
      <c r="D51" s="2">
        <f>148*60+37.8</f>
        <v>8917.7999999999993</v>
      </c>
      <c r="E51" s="2">
        <v>6739</v>
      </c>
      <c r="F51" s="2">
        <v>1696</v>
      </c>
      <c r="G51" s="1">
        <f>59*60+50.8</f>
        <v>3590.8</v>
      </c>
      <c r="H51" s="1">
        <v>5998</v>
      </c>
      <c r="I51" s="1">
        <v>3843</v>
      </c>
      <c r="J51" s="4">
        <f t="shared" si="5"/>
        <v>0.51537167329458555</v>
      </c>
      <c r="K51" s="4">
        <f t="shared" si="6"/>
        <v>0.34576962283384299</v>
      </c>
      <c r="L51" s="5">
        <f t="shared" si="7"/>
        <v>0.45870296726827775</v>
      </c>
      <c r="M51" s="5">
        <f t="shared" si="8"/>
        <v>0.78348623853211008</v>
      </c>
    </row>
    <row r="52" spans="1:13" x14ac:dyDescent="0.3">
      <c r="A52" s="1">
        <v>21</v>
      </c>
      <c r="B52" s="3">
        <v>1376</v>
      </c>
      <c r="C52" s="3">
        <v>959</v>
      </c>
      <c r="D52" s="2">
        <v>612</v>
      </c>
      <c r="E52" s="2">
        <v>604</v>
      </c>
      <c r="F52" s="2">
        <v>290</v>
      </c>
      <c r="G52" s="1">
        <f>2*60+33.5</f>
        <v>153.5</v>
      </c>
      <c r="H52" s="1">
        <v>562</v>
      </c>
      <c r="I52" s="1">
        <v>489</v>
      </c>
      <c r="J52" s="4">
        <f t="shared" si="5"/>
        <v>0.43895348837209303</v>
      </c>
      <c r="K52" s="4">
        <f t="shared" si="6"/>
        <v>0.30239833159541191</v>
      </c>
      <c r="L52" s="5">
        <f t="shared" si="7"/>
        <v>0.40843023255813954</v>
      </c>
      <c r="M52" s="5">
        <f t="shared" si="8"/>
        <v>0.50990615224191871</v>
      </c>
    </row>
    <row r="53" spans="1:13" x14ac:dyDescent="0.3">
      <c r="A53" s="1">
        <v>22</v>
      </c>
      <c r="B53" s="3">
        <v>539</v>
      </c>
      <c r="C53" s="3">
        <v>396</v>
      </c>
      <c r="D53" s="2">
        <v>51.8</v>
      </c>
      <c r="E53" s="2">
        <v>329</v>
      </c>
      <c r="F53" s="2">
        <v>146</v>
      </c>
      <c r="G53" s="1">
        <v>27.7</v>
      </c>
      <c r="H53" s="1">
        <v>290</v>
      </c>
      <c r="I53" s="1">
        <v>253</v>
      </c>
      <c r="J53" s="4">
        <f t="shared" si="5"/>
        <v>0.61038961038961037</v>
      </c>
      <c r="K53" s="4">
        <f t="shared" si="6"/>
        <v>0.36868686868686867</v>
      </c>
      <c r="L53" s="5">
        <f t="shared" si="7"/>
        <v>0.53803339517625237</v>
      </c>
      <c r="M53" s="5">
        <f t="shared" si="8"/>
        <v>0.63888888888888884</v>
      </c>
    </row>
    <row r="54" spans="1:13" x14ac:dyDescent="0.3">
      <c r="A54" s="1">
        <v>23</v>
      </c>
      <c r="B54" s="3">
        <v>4387</v>
      </c>
      <c r="C54" s="3">
        <v>2111</v>
      </c>
      <c r="D54" s="2">
        <f>23*60+52.7</f>
        <v>1432.7</v>
      </c>
      <c r="E54" s="2">
        <v>1866</v>
      </c>
      <c r="F54" s="2">
        <v>541</v>
      </c>
      <c r="G54" s="1">
        <f>17*60+38.7</f>
        <v>1058.7</v>
      </c>
      <c r="H54" s="1">
        <v>1811</v>
      </c>
      <c r="I54" s="1">
        <v>1228</v>
      </c>
      <c r="J54" s="4">
        <f t="shared" si="5"/>
        <v>0.42534761796216092</v>
      </c>
      <c r="K54" s="4">
        <f t="shared" si="6"/>
        <v>0.25627664613927048</v>
      </c>
      <c r="L54" s="5">
        <f t="shared" si="7"/>
        <v>0.41281057670389787</v>
      </c>
      <c r="M54" s="5">
        <f t="shared" si="8"/>
        <v>0.58171482709616296</v>
      </c>
    </row>
    <row r="56" spans="1:13" x14ac:dyDescent="0.3">
      <c r="D56" s="12" t="s">
        <v>13</v>
      </c>
      <c r="E56" s="12"/>
      <c r="F56" s="12"/>
      <c r="G56" s="13" t="s">
        <v>11</v>
      </c>
      <c r="H56" s="13"/>
      <c r="I56" s="13"/>
    </row>
    <row r="57" spans="1:13" x14ac:dyDescent="0.3">
      <c r="A57" s="1" t="s">
        <v>2</v>
      </c>
      <c r="B57" s="3" t="s">
        <v>3</v>
      </c>
      <c r="C57" s="3" t="s">
        <v>4</v>
      </c>
      <c r="D57" s="2" t="s">
        <v>14</v>
      </c>
      <c r="E57" s="2" t="s">
        <v>15</v>
      </c>
      <c r="F57" s="2" t="s">
        <v>16</v>
      </c>
      <c r="G57" s="6" t="s">
        <v>14</v>
      </c>
      <c r="H57" s="6" t="s">
        <v>6</v>
      </c>
      <c r="I57" s="6" t="s">
        <v>17</v>
      </c>
    </row>
    <row r="58" spans="1:13" x14ac:dyDescent="0.3">
      <c r="A58" s="1">
        <v>0</v>
      </c>
      <c r="B58" s="3">
        <v>56420</v>
      </c>
      <c r="C58" s="3">
        <v>16710</v>
      </c>
      <c r="D58" s="2">
        <f>2177*60+0.8</f>
        <v>130620.8</v>
      </c>
      <c r="E58" s="2">
        <v>23134</v>
      </c>
      <c r="F58" s="4">
        <v>0.41003190358029068</v>
      </c>
      <c r="G58" s="6">
        <f>248*60+11.4</f>
        <v>14891.4</v>
      </c>
      <c r="H58" s="6">
        <v>22672</v>
      </c>
      <c r="I58" s="7">
        <v>0.40184331797235023</v>
      </c>
    </row>
    <row r="59" spans="1:13" x14ac:dyDescent="0.3">
      <c r="A59" s="1">
        <v>1</v>
      </c>
      <c r="B59" s="3">
        <v>2959</v>
      </c>
      <c r="C59" s="3">
        <v>1185</v>
      </c>
      <c r="D59" s="2">
        <f>26*60+27.4</f>
        <v>1587.4</v>
      </c>
      <c r="E59" s="2">
        <v>997</v>
      </c>
      <c r="F59" s="4">
        <v>0.33693815478202094</v>
      </c>
      <c r="G59" s="6">
        <f>6*60+16.1</f>
        <v>376.1</v>
      </c>
      <c r="H59" s="6">
        <v>928</v>
      </c>
      <c r="I59" s="7">
        <v>0.31361946603582291</v>
      </c>
    </row>
    <row r="60" spans="1:13" x14ac:dyDescent="0.3">
      <c r="A60" s="1">
        <v>2</v>
      </c>
      <c r="B60" s="3">
        <v>24720</v>
      </c>
      <c r="C60" s="3">
        <v>6570</v>
      </c>
      <c r="D60" s="2">
        <f>372*60+7.1</f>
        <v>22327.1</v>
      </c>
      <c r="E60" s="2">
        <v>9529</v>
      </c>
      <c r="F60" s="4">
        <v>0.38547734627831715</v>
      </c>
      <c r="G60" s="6">
        <f>43*60+54.2</f>
        <v>2634.2</v>
      </c>
      <c r="H60" s="6">
        <v>8862</v>
      </c>
      <c r="I60" s="7">
        <v>0.35849514563106794</v>
      </c>
    </row>
    <row r="61" spans="1:13" x14ac:dyDescent="0.3">
      <c r="A61" s="1">
        <v>3</v>
      </c>
      <c r="B61" s="3">
        <v>2959</v>
      </c>
      <c r="C61" s="3">
        <v>1185</v>
      </c>
      <c r="D61" s="2">
        <f>16*60+46.3</f>
        <v>1006.3</v>
      </c>
      <c r="E61" s="2">
        <v>997</v>
      </c>
      <c r="F61" s="4">
        <v>0.33693815478202094</v>
      </c>
      <c r="G61" s="6">
        <f>3*60+59.3</f>
        <v>239.3</v>
      </c>
      <c r="H61" s="6">
        <v>946</v>
      </c>
      <c r="I61" s="7">
        <v>0.31970260223048325</v>
      </c>
    </row>
    <row r="62" spans="1:13" x14ac:dyDescent="0.3">
      <c r="A62" s="1">
        <v>4</v>
      </c>
      <c r="B62" s="3">
        <v>844</v>
      </c>
      <c r="C62" s="3">
        <v>415</v>
      </c>
      <c r="D62" s="2">
        <f>60+51.5</f>
        <v>111.5</v>
      </c>
      <c r="E62" s="2">
        <v>318</v>
      </c>
      <c r="F62" s="4">
        <v>0.37677725118483413</v>
      </c>
      <c r="G62" s="6">
        <v>33.6</v>
      </c>
      <c r="H62" s="6">
        <v>312</v>
      </c>
      <c r="I62" s="7">
        <v>0.36966824644549762</v>
      </c>
    </row>
    <row r="63" spans="1:13" x14ac:dyDescent="0.3">
      <c r="A63" s="1">
        <v>5</v>
      </c>
      <c r="B63" s="3">
        <v>9115</v>
      </c>
      <c r="C63" s="3">
        <v>2803</v>
      </c>
      <c r="D63" s="2">
        <f>69*60+27.2</f>
        <v>4167.2</v>
      </c>
      <c r="E63" s="2">
        <v>2370</v>
      </c>
      <c r="F63" s="4">
        <v>0.26001097092704334</v>
      </c>
      <c r="G63" s="6">
        <f>23*60+32</f>
        <v>1412</v>
      </c>
      <c r="H63" s="6">
        <v>2323</v>
      </c>
      <c r="I63" s="7">
        <v>0.25485463521667578</v>
      </c>
    </row>
    <row r="64" spans="1:13" x14ac:dyDescent="0.3">
      <c r="A64" s="1">
        <v>6</v>
      </c>
      <c r="B64" s="3">
        <v>59167</v>
      </c>
      <c r="C64" s="3">
        <v>16782</v>
      </c>
      <c r="D64" s="2">
        <f>1862*60+26.3</f>
        <v>111746.3</v>
      </c>
      <c r="E64" s="2">
        <v>25353</v>
      </c>
      <c r="F64" s="4">
        <v>0.42849899437186267</v>
      </c>
      <c r="G64" s="6">
        <f>224*60+46.4</f>
        <v>13486.4</v>
      </c>
      <c r="H64" s="6">
        <v>22565</v>
      </c>
      <c r="I64" s="7">
        <v>0.38137813308094037</v>
      </c>
    </row>
    <row r="65" spans="1:9" x14ac:dyDescent="0.3">
      <c r="A65" s="1">
        <v>7</v>
      </c>
      <c r="B65" s="3">
        <v>7357</v>
      </c>
      <c r="C65" s="3">
        <v>2643</v>
      </c>
      <c r="D65" s="2">
        <f>59*60+45.5</f>
        <v>3585.5</v>
      </c>
      <c r="E65" s="2">
        <v>2654</v>
      </c>
      <c r="F65" s="4">
        <v>0.36074486883240453</v>
      </c>
      <c r="G65" s="6">
        <f>21*60+21.4</f>
        <v>1281.4000000000001</v>
      </c>
      <c r="H65" s="6">
        <v>2548</v>
      </c>
      <c r="I65" s="7">
        <v>0.34633682207421501</v>
      </c>
    </row>
    <row r="66" spans="1:9" x14ac:dyDescent="0.3">
      <c r="A66" s="1">
        <v>8</v>
      </c>
      <c r="B66" s="3">
        <v>23155</v>
      </c>
      <c r="C66" s="3">
        <v>6851</v>
      </c>
      <c r="D66" s="2">
        <f>442*60+52.7</f>
        <v>26572.7</v>
      </c>
      <c r="E66" s="2">
        <v>8849</v>
      </c>
      <c r="F66" s="4">
        <v>0.38216367955085295</v>
      </c>
      <c r="G66" s="6">
        <f>85*60+8.7</f>
        <v>5108.7</v>
      </c>
      <c r="H66" s="6">
        <v>8142</v>
      </c>
      <c r="I66" s="7">
        <v>0.35163031742604189</v>
      </c>
    </row>
    <row r="67" spans="1:9" x14ac:dyDescent="0.3">
      <c r="A67" s="1">
        <v>9</v>
      </c>
      <c r="B67" s="3">
        <v>2407</v>
      </c>
      <c r="C67" s="3">
        <v>1156</v>
      </c>
      <c r="D67" s="2">
        <v>641.70000000000005</v>
      </c>
      <c r="E67" s="2">
        <v>941</v>
      </c>
      <c r="F67" s="4">
        <v>0.39094308267552969</v>
      </c>
      <c r="G67" s="6">
        <f>4*60+36.5</f>
        <v>276.5</v>
      </c>
      <c r="H67" s="6">
        <v>819</v>
      </c>
      <c r="I67" s="7">
        <v>0.3402575820523473</v>
      </c>
    </row>
    <row r="68" spans="1:9" x14ac:dyDescent="0.3">
      <c r="A68" s="1">
        <v>10</v>
      </c>
      <c r="B68" s="3">
        <v>735</v>
      </c>
      <c r="C68" s="3">
        <v>455</v>
      </c>
      <c r="D68" s="2">
        <v>85.8</v>
      </c>
      <c r="E68" s="2">
        <v>340</v>
      </c>
      <c r="F68" s="4">
        <v>0.46258503401360546</v>
      </c>
      <c r="G68" s="6">
        <v>53.5</v>
      </c>
      <c r="H68" s="6">
        <v>314</v>
      </c>
      <c r="I68" s="7">
        <v>0.42721088435374149</v>
      </c>
    </row>
    <row r="69" spans="1:9" x14ac:dyDescent="0.3">
      <c r="A69" s="1">
        <v>11</v>
      </c>
      <c r="B69" s="3">
        <v>8451</v>
      </c>
      <c r="C69" s="3">
        <v>3023</v>
      </c>
      <c r="D69" s="2">
        <f>66*60+26.2</f>
        <v>3986.2</v>
      </c>
      <c r="E69" s="2">
        <v>2375</v>
      </c>
      <c r="F69" s="4">
        <v>0.28103183055259734</v>
      </c>
      <c r="G69" s="6">
        <f>29*60+30.3</f>
        <v>1770.3</v>
      </c>
      <c r="H69" s="6">
        <v>2138</v>
      </c>
      <c r="I69" s="7">
        <v>0.25298781209324339</v>
      </c>
    </row>
    <row r="70" spans="1:9" x14ac:dyDescent="0.3">
      <c r="A70" s="1">
        <v>12</v>
      </c>
      <c r="B70" s="3">
        <v>31199</v>
      </c>
      <c r="C70" s="3">
        <v>13152</v>
      </c>
      <c r="D70" s="2">
        <f>795*60+30.8</f>
        <v>47730.8</v>
      </c>
      <c r="E70" s="2">
        <v>16206</v>
      </c>
      <c r="F70" s="4">
        <v>0.51943972563223184</v>
      </c>
      <c r="G70" s="6">
        <f>183*60+3.7</f>
        <v>10983.7</v>
      </c>
      <c r="H70" s="6">
        <v>14100</v>
      </c>
      <c r="I70" s="7">
        <v>0.45193756210134939</v>
      </c>
    </row>
    <row r="71" spans="1:9" x14ac:dyDescent="0.3">
      <c r="A71" s="1">
        <v>13</v>
      </c>
      <c r="B71" s="3">
        <v>4516</v>
      </c>
      <c r="C71" s="3">
        <v>1876</v>
      </c>
      <c r="D71" s="2">
        <f>26*60+49.4</f>
        <v>1609.4</v>
      </c>
      <c r="E71" s="2">
        <v>2311</v>
      </c>
      <c r="F71" s="4">
        <v>0.51173604960141716</v>
      </c>
      <c r="G71" s="6">
        <f>9*60+3.9</f>
        <v>543.9</v>
      </c>
      <c r="H71" s="6">
        <v>2219</v>
      </c>
      <c r="I71" s="7">
        <v>0.49136403897254205</v>
      </c>
    </row>
    <row r="72" spans="1:9" x14ac:dyDescent="0.3">
      <c r="A72" s="1">
        <v>14</v>
      </c>
      <c r="B72" s="3">
        <v>13051</v>
      </c>
      <c r="C72" s="3">
        <v>4824</v>
      </c>
      <c r="D72" s="2">
        <f>139*60+19.6</f>
        <v>8359.6</v>
      </c>
      <c r="E72" s="2">
        <v>6530</v>
      </c>
      <c r="F72" s="4">
        <v>0.50034480116466173</v>
      </c>
      <c r="G72" s="6">
        <f>31*60+32.6</f>
        <v>1892.6</v>
      </c>
      <c r="H72" s="6">
        <v>6139</v>
      </c>
      <c r="I72" s="7">
        <v>0.47038541107961074</v>
      </c>
    </row>
    <row r="73" spans="1:9" x14ac:dyDescent="0.3">
      <c r="A73" s="1">
        <v>15</v>
      </c>
      <c r="B73" s="3">
        <v>1462</v>
      </c>
      <c r="C73" s="3">
        <v>941</v>
      </c>
      <c r="D73" s="2">
        <f>6*60+41.8</f>
        <v>401.8</v>
      </c>
      <c r="E73" s="2">
        <v>704</v>
      </c>
      <c r="F73" s="4">
        <v>0.48153214774281805</v>
      </c>
      <c r="G73" s="6">
        <f>2*60+26.6</f>
        <v>146.6</v>
      </c>
      <c r="H73" s="6">
        <v>690</v>
      </c>
      <c r="I73" s="7">
        <v>0.47195622435020518</v>
      </c>
    </row>
    <row r="74" spans="1:9" x14ac:dyDescent="0.3">
      <c r="A74" s="1">
        <v>16</v>
      </c>
      <c r="B74" s="3">
        <v>538</v>
      </c>
      <c r="C74" s="3">
        <v>430</v>
      </c>
      <c r="D74" s="2">
        <v>51.3</v>
      </c>
      <c r="E74" s="2">
        <v>339</v>
      </c>
      <c r="F74" s="4">
        <v>0.63011152416356875</v>
      </c>
      <c r="G74" s="6">
        <v>30.3</v>
      </c>
      <c r="H74" s="6">
        <v>309</v>
      </c>
      <c r="I74" s="7">
        <v>0.57434944237918217</v>
      </c>
    </row>
    <row r="75" spans="1:9" x14ac:dyDescent="0.3">
      <c r="A75" s="1">
        <v>17</v>
      </c>
      <c r="B75" s="3">
        <v>4390</v>
      </c>
      <c r="C75" s="3">
        <v>2368</v>
      </c>
      <c r="D75" s="2">
        <f>30*60+31.4</f>
        <v>1831.4</v>
      </c>
      <c r="E75" s="2">
        <v>1946</v>
      </c>
      <c r="F75" s="4">
        <v>0.44328018223234622</v>
      </c>
      <c r="G75" s="6">
        <f>12*60+33.2</f>
        <v>753.2</v>
      </c>
      <c r="H75" s="6">
        <v>1674</v>
      </c>
      <c r="I75" s="7">
        <v>0.38132118451025054</v>
      </c>
    </row>
    <row r="76" spans="1:9" x14ac:dyDescent="0.3">
      <c r="A76" s="1">
        <v>18</v>
      </c>
      <c r="B76" s="3">
        <v>30448</v>
      </c>
      <c r="C76" s="3">
        <v>12218</v>
      </c>
      <c r="D76" s="2">
        <f>658*60+2.3</f>
        <v>39482.300000000003</v>
      </c>
      <c r="E76" s="2">
        <v>17054</v>
      </c>
      <c r="F76" s="4">
        <v>0.56010246978455069</v>
      </c>
      <c r="G76" s="6">
        <f>266*60+23.4</f>
        <v>15983.4</v>
      </c>
      <c r="H76" s="6">
        <v>14837</v>
      </c>
      <c r="I76" s="7">
        <v>0.48728980557015239</v>
      </c>
    </row>
    <row r="77" spans="1:9" x14ac:dyDescent="0.3">
      <c r="A77" s="1">
        <v>19</v>
      </c>
      <c r="B77" s="3">
        <v>4389</v>
      </c>
      <c r="C77" s="3">
        <v>1908</v>
      </c>
      <c r="D77" s="2">
        <f>25*60+29.7</f>
        <v>1529.7</v>
      </c>
      <c r="E77" s="2">
        <v>2346</v>
      </c>
      <c r="F77" s="4">
        <v>0.53451811346548184</v>
      </c>
      <c r="G77" s="6">
        <f>9*60+40.7</f>
        <v>580.70000000000005</v>
      </c>
      <c r="H77" s="6">
        <v>2065</v>
      </c>
      <c r="I77" s="7">
        <v>0.47049441786283891</v>
      </c>
    </row>
    <row r="78" spans="1:9" x14ac:dyDescent="0.3">
      <c r="A78" s="1">
        <v>20</v>
      </c>
      <c r="B78" s="3">
        <v>13076</v>
      </c>
      <c r="C78" s="3">
        <v>4905</v>
      </c>
      <c r="D78" s="2">
        <f>148*60+37.8</f>
        <v>8917.7999999999993</v>
      </c>
      <c r="E78" s="2">
        <v>6739</v>
      </c>
      <c r="F78" s="4">
        <v>0.51537167329458555</v>
      </c>
      <c r="G78" s="6">
        <f>59*60+50.8</f>
        <v>3590.8</v>
      </c>
      <c r="H78" s="6">
        <v>5998</v>
      </c>
      <c r="I78" s="7">
        <v>0.45870296726827775</v>
      </c>
    </row>
    <row r="79" spans="1:9" x14ac:dyDescent="0.3">
      <c r="A79" s="1">
        <v>21</v>
      </c>
      <c r="B79" s="3">
        <v>1376</v>
      </c>
      <c r="C79" s="3">
        <v>959</v>
      </c>
      <c r="D79" s="2">
        <v>612</v>
      </c>
      <c r="E79" s="2">
        <v>604</v>
      </c>
      <c r="F79" s="4">
        <v>0.43895348837209303</v>
      </c>
      <c r="G79" s="6">
        <f>2*60+33.5</f>
        <v>153.5</v>
      </c>
      <c r="H79" s="6">
        <v>562</v>
      </c>
      <c r="I79" s="7">
        <v>0.40843023255813954</v>
      </c>
    </row>
    <row r="80" spans="1:9" x14ac:dyDescent="0.3">
      <c r="A80" s="1">
        <v>22</v>
      </c>
      <c r="B80" s="3">
        <v>539</v>
      </c>
      <c r="C80" s="3">
        <v>396</v>
      </c>
      <c r="D80" s="2">
        <v>51.8</v>
      </c>
      <c r="E80" s="2">
        <v>329</v>
      </c>
      <c r="F80" s="4">
        <v>0.61038961038961037</v>
      </c>
      <c r="G80" s="6">
        <v>27.7</v>
      </c>
      <c r="H80" s="6">
        <v>290</v>
      </c>
      <c r="I80" s="7">
        <v>0.53803339517625237</v>
      </c>
    </row>
    <row r="81" spans="1:9" x14ac:dyDescent="0.3">
      <c r="A81" s="1">
        <v>23</v>
      </c>
      <c r="B81" s="3">
        <v>4387</v>
      </c>
      <c r="C81" s="3">
        <v>2111</v>
      </c>
      <c r="D81" s="2">
        <f>23*60+52.7</f>
        <v>1432.7</v>
      </c>
      <c r="E81" s="2">
        <v>1866</v>
      </c>
      <c r="F81" s="4">
        <v>0.42534761796216092</v>
      </c>
      <c r="G81" s="6">
        <f>17*60+38.7</f>
        <v>1058.7</v>
      </c>
      <c r="H81" s="6">
        <v>1811</v>
      </c>
      <c r="I81" s="7">
        <v>0.41281057670389787</v>
      </c>
    </row>
    <row r="84" spans="1:9" x14ac:dyDescent="0.3">
      <c r="A84" s="1" t="s">
        <v>2</v>
      </c>
      <c r="B84" s="3" t="s">
        <v>3</v>
      </c>
      <c r="C84" s="3" t="s">
        <v>4</v>
      </c>
      <c r="D84" s="2" t="s">
        <v>1</v>
      </c>
      <c r="E84" s="2" t="s">
        <v>12</v>
      </c>
      <c r="F84" s="6" t="s">
        <v>1</v>
      </c>
      <c r="G84" s="6" t="s">
        <v>12</v>
      </c>
    </row>
    <row r="85" spans="1:9" x14ac:dyDescent="0.3">
      <c r="A85" s="1">
        <v>0</v>
      </c>
      <c r="B85" s="3">
        <v>56420</v>
      </c>
      <c r="C85" s="3">
        <v>16710</v>
      </c>
      <c r="D85" s="2">
        <v>4674</v>
      </c>
      <c r="E85" s="4">
        <v>0.27971274685816877</v>
      </c>
      <c r="F85" s="6">
        <v>15077</v>
      </c>
      <c r="G85" s="7">
        <v>0.90227408737283066</v>
      </c>
    </row>
    <row r="86" spans="1:9" x14ac:dyDescent="0.3">
      <c r="A86" s="1">
        <v>1</v>
      </c>
      <c r="B86" s="3">
        <v>2959</v>
      </c>
      <c r="C86" s="3">
        <v>1185</v>
      </c>
      <c r="D86" s="2">
        <v>375</v>
      </c>
      <c r="E86" s="4">
        <v>0.31645569620253167</v>
      </c>
      <c r="F86" s="6">
        <v>704</v>
      </c>
      <c r="G86" s="7">
        <v>0.59409282700421939</v>
      </c>
    </row>
    <row r="87" spans="1:9" x14ac:dyDescent="0.3">
      <c r="A87" s="1">
        <v>2</v>
      </c>
      <c r="B87" s="3">
        <v>24720</v>
      </c>
      <c r="C87" s="3">
        <v>6570</v>
      </c>
      <c r="D87" s="2">
        <v>2210</v>
      </c>
      <c r="E87" s="4">
        <v>0.33637747336377471</v>
      </c>
      <c r="F87" s="6">
        <v>6062</v>
      </c>
      <c r="G87" s="7">
        <v>0.92267884322678839</v>
      </c>
    </row>
    <row r="88" spans="1:9" x14ac:dyDescent="0.3">
      <c r="A88" s="1">
        <v>3</v>
      </c>
      <c r="B88" s="3">
        <v>2959</v>
      </c>
      <c r="C88" s="3">
        <v>1185</v>
      </c>
      <c r="D88" s="2">
        <v>375</v>
      </c>
      <c r="E88" s="4">
        <v>0.31645569620253167</v>
      </c>
      <c r="F88" s="6">
        <v>908</v>
      </c>
      <c r="G88" s="7">
        <v>0.76624472573839664</v>
      </c>
    </row>
    <row r="89" spans="1:9" x14ac:dyDescent="0.3">
      <c r="A89" s="1">
        <v>4</v>
      </c>
      <c r="B89" s="3">
        <v>844</v>
      </c>
      <c r="C89" s="3">
        <v>415</v>
      </c>
      <c r="D89" s="2">
        <v>157</v>
      </c>
      <c r="E89" s="4">
        <v>0.37831325301204821</v>
      </c>
      <c r="F89" s="6">
        <v>312</v>
      </c>
      <c r="G89" s="7">
        <v>0.75180722891566265</v>
      </c>
    </row>
    <row r="90" spans="1:9" x14ac:dyDescent="0.3">
      <c r="A90" s="1">
        <v>5</v>
      </c>
      <c r="B90" s="3">
        <v>9115</v>
      </c>
      <c r="C90" s="3">
        <v>2803</v>
      </c>
      <c r="D90" s="2">
        <v>684</v>
      </c>
      <c r="E90" s="4">
        <v>0.24402425972172673</v>
      </c>
      <c r="F90" s="6">
        <v>2139</v>
      </c>
      <c r="G90" s="7">
        <v>0.76311095255083838</v>
      </c>
    </row>
    <row r="91" spans="1:9" x14ac:dyDescent="0.3">
      <c r="A91" s="1">
        <v>6</v>
      </c>
      <c r="B91" s="3">
        <v>59167</v>
      </c>
      <c r="C91" s="3">
        <v>16782</v>
      </c>
      <c r="D91" s="2">
        <v>4678</v>
      </c>
      <c r="E91" s="4">
        <v>0.27875104278393514</v>
      </c>
      <c r="F91" s="6">
        <v>14484</v>
      </c>
      <c r="G91" s="7">
        <v>0.86306757239899889</v>
      </c>
    </row>
    <row r="92" spans="1:9" x14ac:dyDescent="0.3">
      <c r="A92" s="1">
        <v>7</v>
      </c>
      <c r="B92" s="3">
        <v>7357</v>
      </c>
      <c r="C92" s="3">
        <v>2643</v>
      </c>
      <c r="D92" s="2">
        <v>973</v>
      </c>
      <c r="E92" s="4">
        <v>0.36814226258040106</v>
      </c>
      <c r="F92" s="6">
        <v>1919</v>
      </c>
      <c r="G92" s="7">
        <v>0.72606886114264091</v>
      </c>
    </row>
    <row r="93" spans="1:9" x14ac:dyDescent="0.3">
      <c r="A93" s="1">
        <v>8</v>
      </c>
      <c r="B93" s="3">
        <v>23155</v>
      </c>
      <c r="C93" s="3">
        <v>6851</v>
      </c>
      <c r="D93" s="2">
        <v>2115</v>
      </c>
      <c r="E93" s="4">
        <v>0.30871405634213983</v>
      </c>
      <c r="F93" s="6">
        <v>5737</v>
      </c>
      <c r="G93" s="7">
        <v>0.83739600058385633</v>
      </c>
    </row>
    <row r="94" spans="1:9" x14ac:dyDescent="0.3">
      <c r="A94" s="1">
        <v>9</v>
      </c>
      <c r="B94" s="3">
        <v>2407</v>
      </c>
      <c r="C94" s="3">
        <v>1156</v>
      </c>
      <c r="D94" s="2">
        <v>380</v>
      </c>
      <c r="E94" s="4">
        <v>0.32871972318339099</v>
      </c>
      <c r="F94" s="6">
        <v>809</v>
      </c>
      <c r="G94" s="7">
        <v>0.69982698961937717</v>
      </c>
    </row>
    <row r="95" spans="1:9" x14ac:dyDescent="0.3">
      <c r="A95" s="1">
        <v>10</v>
      </c>
      <c r="B95" s="3">
        <v>735</v>
      </c>
      <c r="C95" s="3">
        <v>455</v>
      </c>
      <c r="D95" s="2">
        <v>157</v>
      </c>
      <c r="E95" s="4">
        <v>0.34505494505494505</v>
      </c>
      <c r="F95" s="6">
        <v>313</v>
      </c>
      <c r="G95" s="7">
        <v>0.68791208791208791</v>
      </c>
    </row>
    <row r="96" spans="1:9" x14ac:dyDescent="0.3">
      <c r="A96" s="1">
        <v>11</v>
      </c>
      <c r="B96" s="3">
        <v>8451</v>
      </c>
      <c r="C96" s="3">
        <v>3023</v>
      </c>
      <c r="D96" s="2">
        <v>758</v>
      </c>
      <c r="E96" s="4">
        <v>0.2507442937479325</v>
      </c>
      <c r="F96" s="6">
        <v>1872</v>
      </c>
      <c r="G96" s="7">
        <v>0.61925239827985445</v>
      </c>
    </row>
    <row r="97" spans="1:7" x14ac:dyDescent="0.3">
      <c r="A97" s="1">
        <v>12</v>
      </c>
      <c r="B97" s="3">
        <v>31199</v>
      </c>
      <c r="C97" s="3">
        <v>13152</v>
      </c>
      <c r="D97" s="2">
        <v>3621</v>
      </c>
      <c r="E97" s="4">
        <v>0.27531934306569344</v>
      </c>
      <c r="F97" s="6">
        <v>9296</v>
      </c>
      <c r="G97" s="7">
        <v>0.70681265206812649</v>
      </c>
    </row>
    <row r="98" spans="1:7" x14ac:dyDescent="0.3">
      <c r="A98" s="1">
        <v>13</v>
      </c>
      <c r="B98" s="3">
        <v>4516</v>
      </c>
      <c r="C98" s="3">
        <v>1876</v>
      </c>
      <c r="D98" s="2">
        <v>646</v>
      </c>
      <c r="E98" s="4">
        <v>0.34434968017057571</v>
      </c>
      <c r="F98" s="6">
        <v>1264</v>
      </c>
      <c r="G98" s="7">
        <v>0.67377398720682302</v>
      </c>
    </row>
    <row r="99" spans="1:7" x14ac:dyDescent="0.3">
      <c r="A99" s="1">
        <v>14</v>
      </c>
      <c r="B99" s="3">
        <v>13051</v>
      </c>
      <c r="C99" s="3">
        <v>4824</v>
      </c>
      <c r="D99" s="2">
        <v>1667</v>
      </c>
      <c r="E99" s="4">
        <v>0.34556384742951907</v>
      </c>
      <c r="F99" s="6">
        <v>3764</v>
      </c>
      <c r="G99" s="7">
        <v>0.78026533996683245</v>
      </c>
    </row>
    <row r="100" spans="1:7" x14ac:dyDescent="0.3">
      <c r="A100" s="1">
        <v>15</v>
      </c>
      <c r="B100" s="3">
        <v>1462</v>
      </c>
      <c r="C100" s="3">
        <v>941</v>
      </c>
      <c r="D100" s="2">
        <v>309</v>
      </c>
      <c r="E100" s="4">
        <v>0.3283740701381509</v>
      </c>
      <c r="F100" s="6">
        <v>585</v>
      </c>
      <c r="G100" s="7">
        <v>0.62167906482465463</v>
      </c>
    </row>
    <row r="101" spans="1:7" x14ac:dyDescent="0.3">
      <c r="A101" s="1">
        <v>16</v>
      </c>
      <c r="B101" s="3">
        <v>538</v>
      </c>
      <c r="C101" s="3">
        <v>430</v>
      </c>
      <c r="D101" s="2">
        <v>167</v>
      </c>
      <c r="E101" s="4">
        <v>0.38837209302325582</v>
      </c>
      <c r="F101" s="6">
        <v>276</v>
      </c>
      <c r="G101" s="7">
        <v>0.64186046511627903</v>
      </c>
    </row>
    <row r="102" spans="1:7" x14ac:dyDescent="0.3">
      <c r="A102" s="1">
        <v>17</v>
      </c>
      <c r="B102" s="3">
        <v>4390</v>
      </c>
      <c r="C102" s="3">
        <v>2368</v>
      </c>
      <c r="D102" s="2">
        <v>668</v>
      </c>
      <c r="E102" s="4">
        <v>0.28209459459459457</v>
      </c>
      <c r="F102" s="6">
        <v>1355</v>
      </c>
      <c r="G102" s="7">
        <v>0.57221283783783783</v>
      </c>
    </row>
    <row r="103" spans="1:7" x14ac:dyDescent="0.3">
      <c r="A103" s="1">
        <v>18</v>
      </c>
      <c r="B103" s="3">
        <v>30448</v>
      </c>
      <c r="C103" s="3">
        <v>12218</v>
      </c>
      <c r="D103" s="2">
        <v>3478</v>
      </c>
      <c r="E103" s="4">
        <v>0.28466197413651989</v>
      </c>
      <c r="F103" s="6">
        <v>8658</v>
      </c>
      <c r="G103" s="7">
        <v>0.70862661646750691</v>
      </c>
    </row>
    <row r="104" spans="1:7" x14ac:dyDescent="0.3">
      <c r="A104" s="1">
        <v>19</v>
      </c>
      <c r="B104" s="3">
        <v>4389</v>
      </c>
      <c r="C104" s="3">
        <v>1908</v>
      </c>
      <c r="D104" s="2">
        <v>666</v>
      </c>
      <c r="E104" s="4">
        <v>0.34905660377358488</v>
      </c>
      <c r="F104" s="6">
        <v>1267</v>
      </c>
      <c r="G104" s="7">
        <v>0.66404612159329135</v>
      </c>
    </row>
    <row r="105" spans="1:7" x14ac:dyDescent="0.3">
      <c r="A105" s="1">
        <v>20</v>
      </c>
      <c r="B105" s="3">
        <v>13076</v>
      </c>
      <c r="C105" s="3">
        <v>4905</v>
      </c>
      <c r="D105" s="2">
        <v>1696</v>
      </c>
      <c r="E105" s="4">
        <v>0.34576962283384299</v>
      </c>
      <c r="F105" s="6">
        <v>3843</v>
      </c>
      <c r="G105" s="7">
        <v>0.78348623853211008</v>
      </c>
    </row>
    <row r="106" spans="1:7" x14ac:dyDescent="0.3">
      <c r="A106" s="1">
        <v>21</v>
      </c>
      <c r="B106" s="3">
        <v>1376</v>
      </c>
      <c r="C106" s="3">
        <v>959</v>
      </c>
      <c r="D106" s="2">
        <v>290</v>
      </c>
      <c r="E106" s="4">
        <v>0.30239833159541191</v>
      </c>
      <c r="F106" s="6">
        <v>489</v>
      </c>
      <c r="G106" s="7">
        <v>0.50990615224191871</v>
      </c>
    </row>
    <row r="107" spans="1:7" x14ac:dyDescent="0.3">
      <c r="A107" s="1">
        <v>22</v>
      </c>
      <c r="B107" s="3">
        <v>539</v>
      </c>
      <c r="C107" s="3">
        <v>396</v>
      </c>
      <c r="D107" s="2">
        <v>146</v>
      </c>
      <c r="E107" s="4">
        <v>0.36868686868686867</v>
      </c>
      <c r="F107" s="6">
        <v>253</v>
      </c>
      <c r="G107" s="7">
        <v>0.63888888888888884</v>
      </c>
    </row>
    <row r="108" spans="1:7" x14ac:dyDescent="0.3">
      <c r="A108" s="1">
        <v>23</v>
      </c>
      <c r="B108" s="3">
        <v>4387</v>
      </c>
      <c r="C108" s="3">
        <v>2111</v>
      </c>
      <c r="D108" s="2">
        <v>541</v>
      </c>
      <c r="E108" s="4">
        <v>0.25627664613927048</v>
      </c>
      <c r="F108" s="6">
        <v>1228</v>
      </c>
      <c r="G108" s="7">
        <v>0.58171482709616296</v>
      </c>
    </row>
  </sheetData>
  <mergeCells count="10">
    <mergeCell ref="L1:M1"/>
    <mergeCell ref="D29:F29"/>
    <mergeCell ref="G29:I29"/>
    <mergeCell ref="J29:K29"/>
    <mergeCell ref="L29:M29"/>
    <mergeCell ref="D56:F56"/>
    <mergeCell ref="G56:I56"/>
    <mergeCell ref="D1:F1"/>
    <mergeCell ref="G1:I1"/>
    <mergeCell ref="J1:K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43AC-26E7-43E0-A9E3-4B498563DE66}">
  <dimension ref="A1:AM28"/>
  <sheetViews>
    <sheetView tabSelected="1" zoomScaleNormal="100" workbookViewId="0">
      <selection activeCell="J12" sqref="J12"/>
    </sheetView>
  </sheetViews>
  <sheetFormatPr baseColWidth="10" defaultRowHeight="14.4" x14ac:dyDescent="0.3"/>
  <cols>
    <col min="23" max="23" width="13.33203125" bestFit="1" customWidth="1"/>
    <col min="27" max="27" width="13.33203125" bestFit="1" customWidth="1"/>
  </cols>
  <sheetData>
    <row r="1" spans="1:39" x14ac:dyDescent="0.3">
      <c r="A1" s="1"/>
      <c r="B1" s="1"/>
      <c r="C1" s="1"/>
      <c r="D1" s="25" t="s">
        <v>31</v>
      </c>
      <c r="E1" s="25"/>
      <c r="F1" s="25"/>
      <c r="G1" s="25"/>
      <c r="H1" s="25"/>
      <c r="I1" s="25"/>
      <c r="J1" s="25"/>
      <c r="K1" s="26" t="s">
        <v>32</v>
      </c>
      <c r="L1" s="26"/>
      <c r="M1" s="26"/>
      <c r="N1" s="26"/>
      <c r="O1" s="26"/>
      <c r="P1" s="26"/>
      <c r="Q1" s="26"/>
      <c r="R1" s="27" t="s">
        <v>28</v>
      </c>
      <c r="S1" s="27"/>
      <c r="T1" s="27"/>
      <c r="U1" s="28" t="s">
        <v>29</v>
      </c>
      <c r="V1" s="28"/>
      <c r="W1" s="28"/>
      <c r="X1" s="21" t="s">
        <v>30</v>
      </c>
      <c r="Y1" s="21"/>
      <c r="Z1" s="21"/>
      <c r="AA1" s="21"/>
    </row>
    <row r="2" spans="1:39" x14ac:dyDescent="0.3">
      <c r="A2" s="1" t="s">
        <v>2</v>
      </c>
      <c r="B2" s="3" t="s">
        <v>3</v>
      </c>
      <c r="C2" s="3" t="s">
        <v>4</v>
      </c>
      <c r="D2" s="14" t="s">
        <v>19</v>
      </c>
      <c r="E2" s="14" t="s">
        <v>20</v>
      </c>
      <c r="F2" s="14" t="s">
        <v>21</v>
      </c>
      <c r="G2" s="14" t="s">
        <v>22</v>
      </c>
      <c r="H2" s="14" t="s">
        <v>23</v>
      </c>
      <c r="I2" s="14" t="s">
        <v>24</v>
      </c>
      <c r="J2" s="14" t="s">
        <v>25</v>
      </c>
      <c r="K2" s="15" t="s">
        <v>19</v>
      </c>
      <c r="L2" s="15" t="s">
        <v>20</v>
      </c>
      <c r="M2" s="15" t="s">
        <v>21</v>
      </c>
      <c r="N2" s="15" t="s">
        <v>22</v>
      </c>
      <c r="O2" s="15" t="s">
        <v>23</v>
      </c>
      <c r="P2" s="15" t="s">
        <v>24</v>
      </c>
      <c r="Q2" s="15" t="s">
        <v>25</v>
      </c>
      <c r="R2" s="16" t="s">
        <v>15</v>
      </c>
      <c r="S2" s="16" t="s">
        <v>16</v>
      </c>
      <c r="T2" s="29" t="s">
        <v>26</v>
      </c>
      <c r="U2" s="18" t="s">
        <v>6</v>
      </c>
      <c r="V2" s="18" t="s">
        <v>17</v>
      </c>
      <c r="W2" s="18"/>
      <c r="X2" s="20" t="s">
        <v>27</v>
      </c>
      <c r="Y2" s="20" t="s">
        <v>20</v>
      </c>
      <c r="Z2" s="20" t="s">
        <v>21</v>
      </c>
      <c r="AA2" s="22"/>
    </row>
    <row r="3" spans="1:39" x14ac:dyDescent="0.3">
      <c r="A3" s="10">
        <v>0</v>
      </c>
      <c r="B3" s="10">
        <v>56420</v>
      </c>
      <c r="C3" s="10">
        <v>16710</v>
      </c>
      <c r="D3" s="30">
        <v>1142.729964313507</v>
      </c>
      <c r="E3" s="31">
        <v>20909</v>
      </c>
      <c r="F3" s="32">
        <v>0.37059553349875929</v>
      </c>
      <c r="G3" s="31">
        <v>10930</v>
      </c>
      <c r="H3" s="31">
        <v>20909</v>
      </c>
      <c r="I3" s="30">
        <v>720580.83517707419</v>
      </c>
      <c r="J3" s="30">
        <v>34.462711520257997</v>
      </c>
      <c r="K3" s="33">
        <v>571.29154729366303</v>
      </c>
      <c r="L3" s="33">
        <v>21082</v>
      </c>
      <c r="M3" s="7">
        <v>0.37366182204891879</v>
      </c>
      <c r="N3" s="33">
        <v>11042</v>
      </c>
      <c r="O3" s="33">
        <v>21082</v>
      </c>
      <c r="P3" s="33">
        <v>726388.79386606393</v>
      </c>
      <c r="Q3" s="33">
        <v>34.455402422258977</v>
      </c>
      <c r="R3" s="16">
        <v>23134</v>
      </c>
      <c r="S3" s="17">
        <v>0.41003190358029068</v>
      </c>
      <c r="T3" s="16" t="str">
        <f>IF(F3&gt;S3,"Mejor el BRKGA", "Peor el BRKGA")</f>
        <v>Peor el BRKGA</v>
      </c>
      <c r="U3" s="18">
        <v>22672</v>
      </c>
      <c r="V3" s="19">
        <v>0.40184331797235023</v>
      </c>
      <c r="W3" s="18" t="str">
        <f>IF(F3&gt;V3,"Mejor el BRKGA", "Peor el BRKGA")</f>
        <v>Peor el BRKGA</v>
      </c>
      <c r="X3" s="23">
        <v>2916.3020026683812</v>
      </c>
      <c r="Y3" s="22">
        <v>26125</v>
      </c>
      <c r="Z3" s="24">
        <v>0.46299999999999997</v>
      </c>
      <c r="AA3" s="22" t="str">
        <f>IF(F3&gt;Z3,"Mejor el BRKGA", "Peor el BRKGA")</f>
        <v>Peor el BRKGA</v>
      </c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</row>
    <row r="4" spans="1:39" x14ac:dyDescent="0.3">
      <c r="A4" s="1">
        <v>1</v>
      </c>
      <c r="B4" s="3">
        <v>2959</v>
      </c>
      <c r="C4" s="3">
        <v>1185</v>
      </c>
      <c r="D4" s="30">
        <v>19.819584248065951</v>
      </c>
      <c r="E4" s="31">
        <v>1706</v>
      </c>
      <c r="F4" s="32">
        <v>0.57654613044947622</v>
      </c>
      <c r="G4" s="31">
        <v>708</v>
      </c>
      <c r="H4" s="31">
        <v>1706</v>
      </c>
      <c r="I4" s="30">
        <v>38870.381653620527</v>
      </c>
      <c r="J4" s="30">
        <v>22.784514451125752</v>
      </c>
      <c r="K4" s="33">
        <v>19.429606139659878</v>
      </c>
      <c r="L4" s="6">
        <v>1706</v>
      </c>
      <c r="M4" s="7">
        <v>0.57654613044947622</v>
      </c>
      <c r="N4" s="6">
        <v>717</v>
      </c>
      <c r="O4" s="6">
        <v>1706</v>
      </c>
      <c r="P4" s="6">
        <v>38881.591795574423</v>
      </c>
      <c r="Q4" s="6">
        <v>22.79108546047738</v>
      </c>
      <c r="R4" s="16">
        <v>997</v>
      </c>
      <c r="S4" s="17">
        <v>0.33693815478202094</v>
      </c>
      <c r="T4" s="16" t="str">
        <f>IF(F4&gt;S4,"Mejor el BRKGA", "Peor el BRKGA")</f>
        <v>Mejor el BRKGA</v>
      </c>
      <c r="U4" s="18">
        <v>928</v>
      </c>
      <c r="V4" s="19">
        <v>0.31361946603582291</v>
      </c>
      <c r="W4" s="18" t="str">
        <f>IF(F4&gt;V4,"Mejor el BRKGA", "Peor el BRKGA")</f>
        <v>Mejor el BRKGA</v>
      </c>
      <c r="X4" s="23">
        <v>37.889294624328613</v>
      </c>
      <c r="Y4" s="22">
        <v>1194</v>
      </c>
      <c r="Z4" s="24">
        <v>0.40350000000000003</v>
      </c>
      <c r="AA4" s="22" t="str">
        <f>IF(F4&gt;Z4,"Mejor el BRKGA", "Peor el BRKGA")</f>
        <v>Mejor el BRKGA</v>
      </c>
      <c r="AB4" s="34"/>
      <c r="AI4" s="34"/>
    </row>
    <row r="5" spans="1:39" x14ac:dyDescent="0.3">
      <c r="A5" s="1">
        <v>2</v>
      </c>
      <c r="B5" s="3">
        <v>24720</v>
      </c>
      <c r="C5" s="3">
        <v>6570</v>
      </c>
      <c r="D5" s="30">
        <v>458.11465102434158</v>
      </c>
      <c r="E5" s="31">
        <v>14594</v>
      </c>
      <c r="F5" s="32">
        <v>0.59037216828478967</v>
      </c>
      <c r="G5" s="31">
        <v>5141</v>
      </c>
      <c r="H5" s="31">
        <v>14594</v>
      </c>
      <c r="I5" s="30">
        <v>428984.33203765901</v>
      </c>
      <c r="J5" s="30">
        <v>29.39456845536926</v>
      </c>
      <c r="K5" s="33">
        <v>356.47720374584196</v>
      </c>
      <c r="L5" s="6">
        <v>14577</v>
      </c>
      <c r="M5" s="7">
        <v>0.58968446601941749</v>
      </c>
      <c r="N5" s="6">
        <v>5080</v>
      </c>
      <c r="O5" s="6">
        <v>14577</v>
      </c>
      <c r="P5" s="6">
        <v>427851.96822445438</v>
      </c>
      <c r="Q5" s="6">
        <v>29.351167470978549</v>
      </c>
      <c r="R5" s="16">
        <v>9529</v>
      </c>
      <c r="S5" s="17">
        <v>0.38547734627831715</v>
      </c>
      <c r="T5" s="16" t="str">
        <f>IF(F5&gt;S5,"Mejor el BRKGA", "Peor el BRKGA")</f>
        <v>Mejor el BRKGA</v>
      </c>
      <c r="U5" s="18">
        <v>8862</v>
      </c>
      <c r="V5" s="19">
        <v>0.35849514563106794</v>
      </c>
      <c r="W5" s="18" t="str">
        <f>IF(F5&gt;V5,"Mejor el BRKGA", "Peor el BRKGA")</f>
        <v>Mejor el BRKGA</v>
      </c>
      <c r="X5" s="23">
        <v>458.43743348121637</v>
      </c>
      <c r="Y5" s="22">
        <v>10934</v>
      </c>
      <c r="Z5" s="24">
        <v>0.44229999999999997</v>
      </c>
      <c r="AA5" s="22" t="str">
        <f>IF(F5&gt;Z5,"Mejor el BRKGA", "Peor el BRKGA")</f>
        <v>Mejor el BRKGA</v>
      </c>
      <c r="AB5" s="34"/>
      <c r="AI5" s="34"/>
    </row>
    <row r="6" spans="1:39" x14ac:dyDescent="0.3">
      <c r="A6" s="1">
        <v>3</v>
      </c>
      <c r="B6" s="3">
        <v>2959</v>
      </c>
      <c r="C6" s="3">
        <v>1185</v>
      </c>
      <c r="D6" s="30">
        <v>22.991482665538786</v>
      </c>
      <c r="E6" s="31">
        <v>1696</v>
      </c>
      <c r="F6" s="32">
        <v>0.57316661034133154</v>
      </c>
      <c r="G6" s="31">
        <v>410</v>
      </c>
      <c r="H6" s="31">
        <v>1696</v>
      </c>
      <c r="I6" s="30">
        <v>38330.616534404253</v>
      </c>
      <c r="J6" s="30">
        <v>22.600599371700621</v>
      </c>
      <c r="K6" s="33">
        <v>22.951462287902832</v>
      </c>
      <c r="L6" s="6">
        <v>1690</v>
      </c>
      <c r="M6" s="7">
        <v>0.57113889827644471</v>
      </c>
      <c r="N6" s="6">
        <v>404</v>
      </c>
      <c r="O6" s="6">
        <v>1690</v>
      </c>
      <c r="P6" s="6">
        <v>38093.372271331587</v>
      </c>
      <c r="Q6" s="6">
        <v>22.540456965284971</v>
      </c>
      <c r="R6" s="16">
        <v>997</v>
      </c>
      <c r="S6" s="17">
        <v>0.33693815478202094</v>
      </c>
      <c r="T6" s="16" t="str">
        <f>IF(F6&gt;S6,"Mejor el BRKGA", "Peor el BRKGA")</f>
        <v>Mejor el BRKGA</v>
      </c>
      <c r="U6" s="18">
        <v>946</v>
      </c>
      <c r="V6" s="19">
        <v>0.31970260223048325</v>
      </c>
      <c r="W6" s="18" t="str">
        <f>IF(F6&gt;V6,"Mejor el BRKGA", "Peor el BRKGA")</f>
        <v>Mejor el BRKGA</v>
      </c>
      <c r="X6" s="23">
        <v>36.93513560295105</v>
      </c>
      <c r="Y6" s="22">
        <v>1194</v>
      </c>
      <c r="Z6" s="24">
        <v>0.40350000000000003</v>
      </c>
      <c r="AA6" s="22" t="str">
        <f>IF(F6&gt;Z6,"Mejor el BRKGA", "Peor el BRKGA")</f>
        <v>Mejor el BRKGA</v>
      </c>
      <c r="AB6" s="34"/>
      <c r="AI6" s="34"/>
    </row>
    <row r="7" spans="1:39" x14ac:dyDescent="0.3">
      <c r="A7" s="1">
        <v>4</v>
      </c>
      <c r="B7" s="3">
        <v>844</v>
      </c>
      <c r="C7" s="3">
        <v>415</v>
      </c>
      <c r="D7" s="30">
        <v>5.7356469631195068</v>
      </c>
      <c r="E7" s="31">
        <v>457</v>
      </c>
      <c r="F7" s="32">
        <v>0.54146919431279616</v>
      </c>
      <c r="G7" s="31">
        <v>235</v>
      </c>
      <c r="H7" s="31">
        <v>457</v>
      </c>
      <c r="I7" s="30">
        <v>11282.71623982999</v>
      </c>
      <c r="J7" s="30">
        <v>24.688656979934329</v>
      </c>
      <c r="K7" s="33">
        <v>5.9227291584014896</v>
      </c>
      <c r="L7" s="6">
        <v>457</v>
      </c>
      <c r="M7" s="7">
        <v>0.54146919431279616</v>
      </c>
      <c r="N7" s="6">
        <v>234</v>
      </c>
      <c r="O7" s="6">
        <v>457</v>
      </c>
      <c r="P7" s="6">
        <v>11349.578342670749</v>
      </c>
      <c r="Q7" s="6">
        <v>24.83496355070185</v>
      </c>
      <c r="R7" s="16">
        <v>318</v>
      </c>
      <c r="S7" s="17">
        <v>0.37677725118483413</v>
      </c>
      <c r="T7" s="16" t="str">
        <f>IF(F7&gt;S7,"Mejor el BRKGA", "Peor el BRKGA")</f>
        <v>Mejor el BRKGA</v>
      </c>
      <c r="U7" s="18">
        <v>312</v>
      </c>
      <c r="V7" s="19">
        <v>0.36966824644549762</v>
      </c>
      <c r="W7" s="18" t="str">
        <f>IF(F7&gt;V7,"Mejor el BRKGA", "Peor el BRKGA")</f>
        <v>Mejor el BRKGA</v>
      </c>
      <c r="X7" s="23">
        <v>11.34278273582458</v>
      </c>
      <c r="Y7" s="22">
        <v>372</v>
      </c>
      <c r="Z7" s="24">
        <v>0.44079999999999997</v>
      </c>
      <c r="AA7" s="22" t="str">
        <f>IF(F7&gt;Z7,"Mejor el BRKGA", "Peor el BRKGA")</f>
        <v>Mejor el BRKGA</v>
      </c>
      <c r="AB7" s="34"/>
      <c r="AI7" s="34"/>
    </row>
    <row r="8" spans="1:39" x14ac:dyDescent="0.3">
      <c r="A8" s="1">
        <v>5</v>
      </c>
      <c r="B8" s="3">
        <v>9115</v>
      </c>
      <c r="C8" s="3">
        <v>2803</v>
      </c>
      <c r="D8" s="30">
        <v>80.091013557910898</v>
      </c>
      <c r="E8" s="31">
        <v>4448</v>
      </c>
      <c r="F8" s="32">
        <v>0.48798683488754802</v>
      </c>
      <c r="G8" s="31">
        <v>974</v>
      </c>
      <c r="H8" s="31">
        <v>4448</v>
      </c>
      <c r="I8" s="30">
        <v>98846.137483061393</v>
      </c>
      <c r="J8" s="30">
        <v>22.222602851407689</v>
      </c>
      <c r="K8" s="33">
        <v>80.391266345977783</v>
      </c>
      <c r="L8" s="6">
        <v>4457</v>
      </c>
      <c r="M8" s="7">
        <v>0.48897421832144822</v>
      </c>
      <c r="N8" s="6">
        <v>967</v>
      </c>
      <c r="O8" s="6">
        <v>4457</v>
      </c>
      <c r="P8" s="6">
        <v>99059.491135896023</v>
      </c>
      <c r="Q8" s="6">
        <v>22.225598190687911</v>
      </c>
      <c r="R8" s="16">
        <v>2370</v>
      </c>
      <c r="S8" s="17">
        <v>0.26001097092704334</v>
      </c>
      <c r="T8" s="16" t="str">
        <f>IF(F8&gt;S8,"Mejor el BRKGA", "Peor el BRKGA")</f>
        <v>Mejor el BRKGA</v>
      </c>
      <c r="U8" s="18">
        <v>2323</v>
      </c>
      <c r="V8" s="19">
        <v>0.25485463521667578</v>
      </c>
      <c r="W8" s="18" t="str">
        <f>IF(F8&gt;V8,"Mejor el BRKGA", "Peor el BRKGA")</f>
        <v>Mejor el BRKGA</v>
      </c>
      <c r="X8" s="23">
        <v>98.465885400772095</v>
      </c>
      <c r="Y8" s="22">
        <v>3008</v>
      </c>
      <c r="Z8" s="24">
        <v>0.33</v>
      </c>
      <c r="AA8" s="22" t="str">
        <f>IF(F8&gt;Z8,"Mejor el BRKGA", "Peor el BRKGA")</f>
        <v>Mejor el BRKGA</v>
      </c>
      <c r="AB8" s="34"/>
      <c r="AI8" s="34"/>
    </row>
    <row r="9" spans="1:39" x14ac:dyDescent="0.3">
      <c r="A9" s="10">
        <v>6</v>
      </c>
      <c r="B9" s="10">
        <v>59167</v>
      </c>
      <c r="C9" s="10">
        <v>16782</v>
      </c>
      <c r="D9" s="30">
        <v>489.57424739150599</v>
      </c>
      <c r="E9" s="31">
        <v>20342</v>
      </c>
      <c r="F9" s="32">
        <v>0.34380651376611959</v>
      </c>
      <c r="G9" s="31">
        <v>10227</v>
      </c>
      <c r="H9" s="31">
        <v>20342</v>
      </c>
      <c r="I9" s="30">
        <v>699759.49012498651</v>
      </c>
      <c r="J9" s="30">
        <v>34.399738969864643</v>
      </c>
      <c r="K9" s="33">
        <v>477.37524939060211</v>
      </c>
      <c r="L9" s="6">
        <v>20108</v>
      </c>
      <c r="M9" s="7">
        <v>0.33985160646982271</v>
      </c>
      <c r="N9" s="6">
        <v>10231</v>
      </c>
      <c r="O9" s="6">
        <v>20108</v>
      </c>
      <c r="P9" s="6">
        <v>694269.87039241684</v>
      </c>
      <c r="Q9" s="6">
        <v>34.527047463318922</v>
      </c>
      <c r="R9" s="16">
        <v>25353</v>
      </c>
      <c r="S9" s="17">
        <v>0.42849899437186267</v>
      </c>
      <c r="T9" s="16" t="str">
        <f>IF(F9&gt;S9,"Mejor el BRKGA", "Peor el BRKGA")</f>
        <v>Peor el BRKGA</v>
      </c>
      <c r="U9" s="18">
        <v>22565</v>
      </c>
      <c r="V9" s="19">
        <v>0.38137813308094037</v>
      </c>
      <c r="W9" s="18" t="str">
        <f>IF(F9&gt;V9,"Mejor el BRKGA", "Peor el BRKGA")</f>
        <v>Peor el BRKGA</v>
      </c>
      <c r="X9" s="23">
        <v>6738.0426757335663</v>
      </c>
      <c r="Y9" s="22">
        <v>28798</v>
      </c>
      <c r="Z9" s="24">
        <v>0.48670000000000002</v>
      </c>
      <c r="AA9" s="22" t="str">
        <f>IF(F9&gt;Z9,"Mejor el BRKGA", "Peor el BRKGA")</f>
        <v>Peor el BRKGA</v>
      </c>
      <c r="AB9" s="34"/>
      <c r="AI9" s="34"/>
    </row>
    <row r="10" spans="1:39" x14ac:dyDescent="0.3">
      <c r="A10" s="1">
        <v>7</v>
      </c>
      <c r="B10" s="3">
        <v>7357</v>
      </c>
      <c r="C10" s="3">
        <v>2643</v>
      </c>
      <c r="D10" s="30">
        <v>115.8626724243164</v>
      </c>
      <c r="E10" s="31">
        <v>4285</v>
      </c>
      <c r="F10" s="32">
        <v>0.58243849395133884</v>
      </c>
      <c r="G10" s="31">
        <v>1813</v>
      </c>
      <c r="H10" s="31">
        <v>4285</v>
      </c>
      <c r="I10" s="30">
        <v>133467.63321507699</v>
      </c>
      <c r="J10" s="30">
        <v>31.14763902335519</v>
      </c>
      <c r="K10" s="33">
        <v>12.075678577423099</v>
      </c>
      <c r="L10" s="6">
        <v>4257</v>
      </c>
      <c r="M10" s="7">
        <v>0.57863259480766616</v>
      </c>
      <c r="N10" s="6">
        <v>1830</v>
      </c>
      <c r="O10" s="6">
        <v>4257</v>
      </c>
      <c r="P10" s="6">
        <v>132520.5171607275</v>
      </c>
      <c r="Q10" s="6">
        <v>31.13002517282769</v>
      </c>
      <c r="R10" s="16">
        <v>2654</v>
      </c>
      <c r="S10" s="17">
        <v>0.36074486883240453</v>
      </c>
      <c r="T10" s="16" t="str">
        <f>IF(F10&gt;S10,"Mejor el BRKGA", "Peor el BRKGA")</f>
        <v>Mejor el BRKGA</v>
      </c>
      <c r="U10" s="18">
        <v>2548</v>
      </c>
      <c r="V10" s="19">
        <v>0.34633682207421501</v>
      </c>
      <c r="W10" s="18" t="str">
        <f>IF(F10&gt;V10,"Mejor el BRKGA", "Peor el BRKGA")</f>
        <v>Mejor el BRKGA</v>
      </c>
      <c r="X10" s="23">
        <v>102.6643464565277</v>
      </c>
      <c r="Y10" s="22">
        <v>3303</v>
      </c>
      <c r="Z10" s="24">
        <v>0.44900000000000001</v>
      </c>
      <c r="AA10" s="22" t="str">
        <f>IF(F10&gt;Z10,"Mejor el BRKGA", "Peor el BRKGA")</f>
        <v>Mejor el BRKGA</v>
      </c>
      <c r="AB10" s="34"/>
      <c r="AI10" s="34"/>
    </row>
    <row r="11" spans="1:39" x14ac:dyDescent="0.3">
      <c r="A11" s="1">
        <v>8</v>
      </c>
      <c r="B11" s="3">
        <v>23155</v>
      </c>
      <c r="C11" s="3">
        <v>6851</v>
      </c>
      <c r="D11" s="30">
        <v>78.986742403507236</v>
      </c>
      <c r="E11" s="31">
        <v>13027</v>
      </c>
      <c r="F11" s="32">
        <v>0.56259987043835025</v>
      </c>
      <c r="G11" s="31">
        <v>5149</v>
      </c>
      <c r="H11" s="31">
        <v>13027</v>
      </c>
      <c r="I11" s="30">
        <v>407656.84942437528</v>
      </c>
      <c r="J11" s="30">
        <v>31.293225564164839</v>
      </c>
      <c r="K11" s="33">
        <v>82.427447731494908</v>
      </c>
      <c r="L11" s="6">
        <v>13009</v>
      </c>
      <c r="M11" s="7">
        <v>0.56182250053984018</v>
      </c>
      <c r="N11" s="6">
        <v>5129</v>
      </c>
      <c r="O11" s="6">
        <v>13009</v>
      </c>
      <c r="P11" s="6">
        <v>406833.94043554447</v>
      </c>
      <c r="Q11" s="6">
        <v>31.273267771200292</v>
      </c>
      <c r="R11" s="16">
        <v>8849</v>
      </c>
      <c r="S11" s="17">
        <v>0.38216367955085295</v>
      </c>
      <c r="T11" s="16" t="str">
        <f>IF(F11&gt;S11,"Mejor el BRKGA", "Peor el BRKGA")</f>
        <v>Mejor el BRKGA</v>
      </c>
      <c r="U11" s="18">
        <v>8142</v>
      </c>
      <c r="V11" s="19">
        <v>0.35163031742604189</v>
      </c>
      <c r="W11" s="18" t="str">
        <f>IF(F11&gt;V11,"Mejor el BRKGA", "Peor el BRKGA")</f>
        <v>Mejor el BRKGA</v>
      </c>
      <c r="X11" s="23">
        <v>435.54210638999939</v>
      </c>
      <c r="Y11" s="22">
        <v>10658</v>
      </c>
      <c r="Z11" s="24">
        <v>0.46029999999999999</v>
      </c>
      <c r="AA11" s="22" t="str">
        <f>IF(F11&gt;Z11,"Mejor el BRKGA", "Peor el BRKGA")</f>
        <v>Mejor el BRKGA</v>
      </c>
      <c r="AB11" s="34"/>
      <c r="AI11" s="34"/>
    </row>
    <row r="12" spans="1:39" x14ac:dyDescent="0.3">
      <c r="A12" s="1">
        <v>9</v>
      </c>
      <c r="B12" s="3">
        <v>2407</v>
      </c>
      <c r="C12" s="3">
        <v>1156</v>
      </c>
      <c r="D12" s="30">
        <v>2.3982193875312809</v>
      </c>
      <c r="E12" s="31">
        <v>1460</v>
      </c>
      <c r="F12" s="32">
        <v>0.60656418778562526</v>
      </c>
      <c r="G12" s="31">
        <v>705</v>
      </c>
      <c r="H12" s="31">
        <v>1460</v>
      </c>
      <c r="I12" s="30">
        <v>35337.045845710672</v>
      </c>
      <c r="J12" s="30">
        <v>24.203456058705939</v>
      </c>
      <c r="K12" s="33">
        <v>3.3654321336746222</v>
      </c>
      <c r="L12" s="6">
        <v>1460</v>
      </c>
      <c r="M12" s="7">
        <v>0.60656418778562526</v>
      </c>
      <c r="N12" s="6">
        <v>714</v>
      </c>
      <c r="O12" s="6">
        <v>1460</v>
      </c>
      <c r="P12" s="6">
        <v>35041.237482259967</v>
      </c>
      <c r="Q12" s="6">
        <v>24.000847590589022</v>
      </c>
      <c r="R12" s="16">
        <v>941</v>
      </c>
      <c r="S12" s="17">
        <v>0.39094308267552969</v>
      </c>
      <c r="T12" s="16" t="str">
        <f>IF(F12&gt;S12,"Mejor el BRKGA", "Peor el BRKGA")</f>
        <v>Mejor el BRKGA</v>
      </c>
      <c r="U12" s="18">
        <v>819</v>
      </c>
      <c r="V12" s="19">
        <v>0.3402575820523473</v>
      </c>
      <c r="W12" s="18" t="str">
        <f>IF(F12&gt;V12,"Mejor el BRKGA", "Peor el BRKGA")</f>
        <v>Mejor el BRKGA</v>
      </c>
      <c r="X12" s="23">
        <v>29.006735324859619</v>
      </c>
      <c r="Y12" s="22">
        <v>1116</v>
      </c>
      <c r="Z12" s="24">
        <v>0.46360000000000001</v>
      </c>
      <c r="AA12" s="22" t="str">
        <f>IF(F12&gt;Z12,"Mejor el BRKGA", "Peor el BRKGA")</f>
        <v>Mejor el BRKGA</v>
      </c>
      <c r="AB12" s="34"/>
      <c r="AI12" s="34"/>
    </row>
    <row r="13" spans="1:39" x14ac:dyDescent="0.3">
      <c r="A13" s="1">
        <v>10</v>
      </c>
      <c r="B13" s="3">
        <v>735</v>
      </c>
      <c r="C13" s="3">
        <v>455</v>
      </c>
      <c r="D13" s="30">
        <v>4.6121487379074093</v>
      </c>
      <c r="E13" s="31">
        <v>456</v>
      </c>
      <c r="F13" s="32">
        <v>0.62040816326530612</v>
      </c>
      <c r="G13" s="31">
        <v>242</v>
      </c>
      <c r="H13" s="31">
        <v>456</v>
      </c>
      <c r="I13" s="30">
        <v>10793.89858765367</v>
      </c>
      <c r="J13" s="30">
        <v>23.670830236082612</v>
      </c>
      <c r="K13" s="33">
        <v>5.4122673273086601</v>
      </c>
      <c r="L13" s="6">
        <v>456</v>
      </c>
      <c r="M13" s="7">
        <v>0.62040816326530612</v>
      </c>
      <c r="N13" s="6">
        <v>239</v>
      </c>
      <c r="O13" s="6">
        <v>456</v>
      </c>
      <c r="P13" s="6">
        <v>10839.3075033362</v>
      </c>
      <c r="Q13" s="6">
        <v>23.770411191526762</v>
      </c>
      <c r="R13" s="16">
        <v>340</v>
      </c>
      <c r="S13" s="17">
        <v>0.46258503401360546</v>
      </c>
      <c r="T13" s="16" t="str">
        <f>IF(F13&gt;S13,"Mejor el BRKGA", "Peor el BRKGA")</f>
        <v>Mejor el BRKGA</v>
      </c>
      <c r="U13" s="18">
        <v>314</v>
      </c>
      <c r="V13" s="19">
        <v>0.42721088435374149</v>
      </c>
      <c r="W13" s="18" t="str">
        <f>IF(F13&gt;V13,"Mejor el BRKGA", "Peor el BRKGA")</f>
        <v>Mejor el BRKGA</v>
      </c>
      <c r="X13" s="23">
        <v>7.7315399646759033</v>
      </c>
      <c r="Y13" s="22">
        <v>394</v>
      </c>
      <c r="Z13" s="24">
        <v>0.53610000000000002</v>
      </c>
      <c r="AA13" s="22" t="str">
        <f>IF(F13&gt;Z13,"Mejor el BRKGA", "Peor el BRKGA")</f>
        <v>Mejor el BRKGA</v>
      </c>
      <c r="AB13" s="34"/>
      <c r="AI13" s="34"/>
    </row>
    <row r="14" spans="1:39" x14ac:dyDescent="0.3">
      <c r="A14" s="1">
        <v>11</v>
      </c>
      <c r="B14" s="3">
        <v>8451</v>
      </c>
      <c r="C14" s="3">
        <v>3023</v>
      </c>
      <c r="D14" s="30">
        <v>109.69161274433141</v>
      </c>
      <c r="E14" s="31">
        <v>4259</v>
      </c>
      <c r="F14" s="32">
        <v>0.50396402792568928</v>
      </c>
      <c r="G14" s="31">
        <v>1962</v>
      </c>
      <c r="H14" s="31">
        <v>4259</v>
      </c>
      <c r="I14" s="30">
        <v>116559.2158203772</v>
      </c>
      <c r="J14" s="30">
        <v>27.367742620421971</v>
      </c>
      <c r="K14" s="33">
        <v>15.73763621807098</v>
      </c>
      <c r="L14" s="6">
        <v>4274</v>
      </c>
      <c r="M14" s="7">
        <v>0.50573896580286359</v>
      </c>
      <c r="N14" s="6">
        <v>2002</v>
      </c>
      <c r="O14" s="6">
        <v>4274</v>
      </c>
      <c r="P14" s="6">
        <v>118751.4113531982</v>
      </c>
      <c r="Q14" s="6">
        <v>27.784607242208281</v>
      </c>
      <c r="R14" s="16">
        <v>2375</v>
      </c>
      <c r="S14" s="17">
        <v>0.28103183055259734</v>
      </c>
      <c r="T14" s="16" t="str">
        <f>IF(F14&gt;S14,"Mejor el BRKGA", "Peor el BRKGA")</f>
        <v>Mejor el BRKGA</v>
      </c>
      <c r="U14" s="18">
        <v>2138</v>
      </c>
      <c r="V14" s="19">
        <v>0.25298781209324339</v>
      </c>
      <c r="W14" s="18" t="str">
        <f>IF(F14&gt;V14,"Mejor el BRKGA", "Peor el BRKGA")</f>
        <v>Mejor el BRKGA</v>
      </c>
      <c r="X14" s="23">
        <v>108.9941720962524</v>
      </c>
      <c r="Y14" s="22">
        <v>2920</v>
      </c>
      <c r="Z14" s="24">
        <v>0.34549999999999997</v>
      </c>
      <c r="AA14" s="22" t="str">
        <f>IF(F14&gt;Z14,"Mejor el BRKGA", "Peor el BRKGA")</f>
        <v>Mejor el BRKGA</v>
      </c>
      <c r="AB14" s="34"/>
      <c r="AI14" s="34"/>
    </row>
    <row r="15" spans="1:39" x14ac:dyDescent="0.3">
      <c r="A15" s="10">
        <v>12</v>
      </c>
      <c r="B15" s="10">
        <v>31199</v>
      </c>
      <c r="C15" s="10">
        <v>13152</v>
      </c>
      <c r="D15" s="30">
        <v>198.70880759954449</v>
      </c>
      <c r="E15" s="31">
        <v>16103</v>
      </c>
      <c r="F15" s="32">
        <v>0.51613833776723617</v>
      </c>
      <c r="G15" s="31">
        <v>7744</v>
      </c>
      <c r="H15" s="31">
        <v>16103</v>
      </c>
      <c r="I15" s="30">
        <v>551966.00400606717</v>
      </c>
      <c r="J15" s="30">
        <v>34.277215674474768</v>
      </c>
      <c r="K15" s="33">
        <v>304.31420965433119</v>
      </c>
      <c r="L15" s="6">
        <v>16047</v>
      </c>
      <c r="M15" s="7">
        <v>0.51434340844257831</v>
      </c>
      <c r="N15" s="6">
        <v>7797</v>
      </c>
      <c r="O15" s="6">
        <v>16047</v>
      </c>
      <c r="P15" s="6">
        <v>545421.12795685744</v>
      </c>
      <c r="Q15" s="6">
        <v>33.988977874796383</v>
      </c>
      <c r="R15" s="16">
        <v>16206</v>
      </c>
      <c r="S15" s="17">
        <v>0.51943972563223184</v>
      </c>
      <c r="T15" s="16" t="str">
        <f>IF(F15&gt;S15,"Mejor el BRKGA", "Peor el BRKGA")</f>
        <v>Peor el BRKGA</v>
      </c>
      <c r="U15" s="18">
        <v>14100</v>
      </c>
      <c r="V15" s="19">
        <v>0.45193756210134939</v>
      </c>
      <c r="W15" s="18" t="str">
        <f>IF(F15&gt;V15,"Mejor el BRKGA", "Peor el BRKGA")</f>
        <v>Mejor el BRKGA</v>
      </c>
      <c r="X15" s="23">
        <v>1201.4973058700559</v>
      </c>
      <c r="Y15" s="22">
        <v>18480</v>
      </c>
      <c r="Z15" s="24">
        <v>0.59229999999999994</v>
      </c>
      <c r="AA15" s="22" t="str">
        <f>IF(F15&gt;Z15,"Mejor el BRKGA", "Peor el BRKGA")</f>
        <v>Peor el BRKGA</v>
      </c>
      <c r="AB15" s="34"/>
      <c r="AI15" s="34"/>
    </row>
    <row r="16" spans="1:39" x14ac:dyDescent="0.3">
      <c r="A16" s="1">
        <v>13</v>
      </c>
      <c r="B16" s="3">
        <v>4516</v>
      </c>
      <c r="C16" s="3">
        <v>1876</v>
      </c>
      <c r="D16" s="30">
        <v>56.33340399265289</v>
      </c>
      <c r="E16" s="31">
        <v>3166</v>
      </c>
      <c r="F16" s="32">
        <v>0.70106288751107171</v>
      </c>
      <c r="G16" s="31">
        <v>1252</v>
      </c>
      <c r="H16" s="31">
        <v>3166</v>
      </c>
      <c r="I16" s="30">
        <v>96550.189987040096</v>
      </c>
      <c r="J16" s="30">
        <v>30.495953880934959</v>
      </c>
      <c r="K16" s="33">
        <v>6.3407426738739012</v>
      </c>
      <c r="L16" s="6">
        <v>3167</v>
      </c>
      <c r="M16" s="7">
        <v>0.70128432240921168</v>
      </c>
      <c r="N16" s="6">
        <v>1264</v>
      </c>
      <c r="O16" s="6">
        <v>3167</v>
      </c>
      <c r="P16" s="6">
        <v>97391.439350647241</v>
      </c>
      <c r="Q16" s="6">
        <v>30.751954326064801</v>
      </c>
      <c r="R16" s="16">
        <v>2311</v>
      </c>
      <c r="S16" s="17">
        <v>0.51173604960141716</v>
      </c>
      <c r="T16" s="16" t="str">
        <f>IF(F16&gt;S16,"Mejor el BRKGA", "Peor el BRKGA")</f>
        <v>Mejor el BRKGA</v>
      </c>
      <c r="U16" s="18">
        <v>2219</v>
      </c>
      <c r="V16" s="19">
        <v>0.49136403897254205</v>
      </c>
      <c r="W16" s="18" t="str">
        <f>IF(F16&gt;V16,"Mejor el BRKGA", "Peor el BRKGA")</f>
        <v>Mejor el BRKGA</v>
      </c>
      <c r="X16" s="23">
        <v>78.875198602676392</v>
      </c>
      <c r="Y16" s="22">
        <v>2798</v>
      </c>
      <c r="Z16" s="24">
        <v>0.61960000000000004</v>
      </c>
      <c r="AA16" s="22" t="str">
        <f>IF(F16&gt;Z16,"Mejor el BRKGA", "Peor el BRKGA")</f>
        <v>Mejor el BRKGA</v>
      </c>
      <c r="AB16" s="34"/>
      <c r="AI16" s="34"/>
    </row>
    <row r="17" spans="1:35" x14ac:dyDescent="0.3">
      <c r="A17" s="1">
        <v>14</v>
      </c>
      <c r="B17" s="3">
        <v>13051</v>
      </c>
      <c r="C17" s="3">
        <v>4824</v>
      </c>
      <c r="D17" s="30">
        <v>32.355805644989012</v>
      </c>
      <c r="E17" s="31">
        <v>8907</v>
      </c>
      <c r="F17" s="32">
        <v>0.6824764385870814</v>
      </c>
      <c r="G17" s="31">
        <v>3307</v>
      </c>
      <c r="H17" s="31">
        <v>8907</v>
      </c>
      <c r="I17" s="30">
        <v>286216.58535584272</v>
      </c>
      <c r="J17" s="30">
        <v>32.13389304545219</v>
      </c>
      <c r="K17" s="33">
        <v>35.611396315097807</v>
      </c>
      <c r="L17" s="6">
        <v>8925</v>
      </c>
      <c r="M17" s="7">
        <v>0.68385564324572834</v>
      </c>
      <c r="N17" s="6">
        <v>3328</v>
      </c>
      <c r="O17" s="6">
        <v>8925</v>
      </c>
      <c r="P17" s="6">
        <v>288008.40569753991</v>
      </c>
      <c r="Q17" s="6">
        <v>32.269849377875623</v>
      </c>
      <c r="R17" s="16">
        <v>6530</v>
      </c>
      <c r="S17" s="17">
        <v>0.50034480116466173</v>
      </c>
      <c r="T17" s="16" t="str">
        <f>IF(F17&gt;S17,"Mejor el BRKGA", "Peor el BRKGA")</f>
        <v>Mejor el BRKGA</v>
      </c>
      <c r="U17" s="18">
        <v>6139</v>
      </c>
      <c r="V17" s="19">
        <v>0.47038541107961074</v>
      </c>
      <c r="W17" s="18" t="str">
        <f>IF(F17&gt;V17,"Mejor el BRKGA", "Peor el BRKGA")</f>
        <v>Mejor el BRKGA</v>
      </c>
      <c r="X17" s="23">
        <v>360.26959562301641</v>
      </c>
      <c r="Y17" s="22">
        <v>7555</v>
      </c>
      <c r="Z17" s="24">
        <v>0.57889999999999997</v>
      </c>
      <c r="AA17" s="22" t="str">
        <f>IF(F17&gt;Z17,"Mejor el BRKGA", "Peor el BRKGA")</f>
        <v>Mejor el BRKGA</v>
      </c>
      <c r="AB17" s="34"/>
      <c r="AI17" s="34"/>
    </row>
    <row r="18" spans="1:35" x14ac:dyDescent="0.3">
      <c r="A18" s="1">
        <v>15</v>
      </c>
      <c r="B18" s="3">
        <v>1462</v>
      </c>
      <c r="C18" s="3">
        <v>941</v>
      </c>
      <c r="D18" s="30">
        <v>17.275250959396359</v>
      </c>
      <c r="E18" s="31">
        <v>971</v>
      </c>
      <c r="F18" s="32">
        <v>0.66415868673050615</v>
      </c>
      <c r="G18" s="31">
        <v>520</v>
      </c>
      <c r="H18" s="31">
        <v>971</v>
      </c>
      <c r="I18" s="30">
        <v>22530.105047712099</v>
      </c>
      <c r="J18" s="30">
        <v>23.20299181020814</v>
      </c>
      <c r="K18" s="33">
        <v>1.6232328844070429</v>
      </c>
      <c r="L18" s="6">
        <v>971</v>
      </c>
      <c r="M18" s="7">
        <v>0.66415868673050615</v>
      </c>
      <c r="N18" s="6">
        <v>503</v>
      </c>
      <c r="O18" s="6">
        <v>971</v>
      </c>
      <c r="P18" s="6">
        <v>22392.798287232112</v>
      </c>
      <c r="Q18" s="6">
        <v>23.061584229899189</v>
      </c>
      <c r="R18" s="16">
        <v>704</v>
      </c>
      <c r="S18" s="17">
        <v>0.48153214774281805</v>
      </c>
      <c r="T18" s="16" t="str">
        <f>IF(F18&gt;S18,"Mejor el BRKGA", "Peor el BRKGA")</f>
        <v>Mejor el BRKGA</v>
      </c>
      <c r="U18" s="18">
        <v>690</v>
      </c>
      <c r="V18" s="19">
        <v>0.47195622435020518</v>
      </c>
      <c r="W18" s="18" t="str">
        <f>IF(F18&gt;V18,"Mejor el BRKGA", "Peor el BRKGA")</f>
        <v>Mejor el BRKGA</v>
      </c>
      <c r="X18" s="23">
        <v>32.078757524490364</v>
      </c>
      <c r="Y18" s="22">
        <v>834</v>
      </c>
      <c r="Z18" s="24">
        <v>0.57050000000000001</v>
      </c>
      <c r="AA18" s="22" t="str">
        <f>IF(F18&gt;Z18,"Mejor el BRKGA", "Peor el BRKGA")</f>
        <v>Mejor el BRKGA</v>
      </c>
      <c r="AB18" s="34"/>
      <c r="AI18" s="34"/>
    </row>
    <row r="19" spans="1:35" x14ac:dyDescent="0.3">
      <c r="A19" s="1">
        <v>16</v>
      </c>
      <c r="B19" s="3">
        <v>538</v>
      </c>
      <c r="C19" s="3">
        <v>430</v>
      </c>
      <c r="D19" s="30">
        <v>3.720403289794922</v>
      </c>
      <c r="E19" s="31">
        <v>381</v>
      </c>
      <c r="F19" s="32">
        <v>0.70817843866171004</v>
      </c>
      <c r="G19" s="31">
        <v>218</v>
      </c>
      <c r="H19" s="31">
        <v>381</v>
      </c>
      <c r="I19" s="30">
        <v>8999.2807143852915</v>
      </c>
      <c r="J19" s="30">
        <v>23.620159355341968</v>
      </c>
      <c r="K19" s="33">
        <v>4.3385988473892203</v>
      </c>
      <c r="L19" s="6">
        <v>381</v>
      </c>
      <c r="M19" s="7">
        <v>0.70817843866171004</v>
      </c>
      <c r="N19" s="6">
        <v>225</v>
      </c>
      <c r="O19" s="6">
        <v>381</v>
      </c>
      <c r="P19" s="6">
        <v>9043.6342032015491</v>
      </c>
      <c r="Q19" s="6">
        <v>23.736572711815089</v>
      </c>
      <c r="R19" s="16">
        <v>339</v>
      </c>
      <c r="S19" s="17">
        <v>0.63011152416356875</v>
      </c>
      <c r="T19" s="16" t="str">
        <f>IF(F19&gt;S19,"Mejor el BRKGA", "Peor el BRKGA")</f>
        <v>Mejor el BRKGA</v>
      </c>
      <c r="U19" s="18">
        <v>309</v>
      </c>
      <c r="V19" s="19">
        <v>0.57434944237918217</v>
      </c>
      <c r="W19" s="18" t="str">
        <f>IF(F19&gt;V19,"Mejor el BRKGA", "Peor el BRKGA")</f>
        <v>Mejor el BRKGA</v>
      </c>
      <c r="X19" s="23">
        <v>7.9771955013275146</v>
      </c>
      <c r="Y19" s="22">
        <v>359</v>
      </c>
      <c r="Z19" s="24">
        <v>0.6673</v>
      </c>
      <c r="AA19" s="22" t="str">
        <f>IF(F19&gt;Z19,"Mejor el BRKGA", "Peor el BRKGA")</f>
        <v>Mejor el BRKGA</v>
      </c>
      <c r="AB19" s="34"/>
      <c r="AI19" s="34"/>
    </row>
    <row r="20" spans="1:35" x14ac:dyDescent="0.3">
      <c r="A20" s="1">
        <v>17</v>
      </c>
      <c r="B20" s="3">
        <v>4390</v>
      </c>
      <c r="C20" s="3">
        <v>2368</v>
      </c>
      <c r="D20" s="30">
        <v>6.0615591645240787</v>
      </c>
      <c r="E20" s="31">
        <v>2916</v>
      </c>
      <c r="F20" s="32">
        <v>0.66423690205011388</v>
      </c>
      <c r="G20" s="31">
        <v>1365</v>
      </c>
      <c r="H20" s="31">
        <v>2916</v>
      </c>
      <c r="I20" s="30">
        <v>78892.808517255937</v>
      </c>
      <c r="J20" s="30">
        <v>27.055146953791471</v>
      </c>
      <c r="K20" s="33">
        <v>5.7352749705314636</v>
      </c>
      <c r="L20" s="6">
        <v>2914</v>
      </c>
      <c r="M20" s="7">
        <v>0.66378132118451028</v>
      </c>
      <c r="N20" s="6">
        <v>1371</v>
      </c>
      <c r="O20" s="6">
        <v>2914</v>
      </c>
      <c r="P20" s="6">
        <v>78728.705767840831</v>
      </c>
      <c r="Q20" s="6">
        <v>27.017400743939891</v>
      </c>
      <c r="R20" s="16">
        <v>1946</v>
      </c>
      <c r="S20" s="17">
        <v>0.44328018223234622</v>
      </c>
      <c r="T20" s="16" t="str">
        <f>IF(F20&gt;S20,"Mejor el BRKGA", "Peor el BRKGA")</f>
        <v>Mejor el BRKGA</v>
      </c>
      <c r="U20" s="18">
        <v>1674</v>
      </c>
      <c r="V20" s="19">
        <v>0.38132118451025054</v>
      </c>
      <c r="W20" s="18" t="str">
        <f>IF(F20&gt;V20,"Mejor el BRKGA", "Peor el BRKGA")</f>
        <v>Mejor el BRKGA</v>
      </c>
      <c r="X20" s="23">
        <v>72.660053968429565</v>
      </c>
      <c r="Y20" s="22">
        <v>2258</v>
      </c>
      <c r="Z20" s="24">
        <v>0.51439999999999997</v>
      </c>
      <c r="AA20" s="22" t="str">
        <f>IF(F20&gt;Z20,"Mejor el BRKGA", "Peor el BRKGA")</f>
        <v>Mejor el BRKGA</v>
      </c>
      <c r="AB20" s="34"/>
      <c r="AI20" s="34"/>
    </row>
    <row r="21" spans="1:35" x14ac:dyDescent="0.3">
      <c r="A21" s="10">
        <v>18</v>
      </c>
      <c r="B21" s="10">
        <v>30448</v>
      </c>
      <c r="C21" s="10">
        <v>12218</v>
      </c>
      <c r="D21" s="30">
        <v>294.864954264164</v>
      </c>
      <c r="E21" s="31">
        <v>13745</v>
      </c>
      <c r="F21" s="32">
        <v>0.45142538097740409</v>
      </c>
      <c r="G21" s="31">
        <v>6969</v>
      </c>
      <c r="H21" s="31">
        <v>13745</v>
      </c>
      <c r="I21" s="30">
        <v>464843.70618624199</v>
      </c>
      <c r="J21" s="30">
        <v>33.819112854582897</v>
      </c>
      <c r="K21" s="33">
        <v>458.92734714508055</v>
      </c>
      <c r="L21" s="6">
        <v>14064</v>
      </c>
      <c r="M21" s="7">
        <v>0.46190225959012088</v>
      </c>
      <c r="N21" s="6">
        <v>7097</v>
      </c>
      <c r="O21" s="6">
        <v>14064</v>
      </c>
      <c r="P21" s="6">
        <v>477967.41748745268</v>
      </c>
      <c r="Q21" s="6">
        <v>33.985169047742659</v>
      </c>
      <c r="R21" s="16">
        <v>17054</v>
      </c>
      <c r="S21" s="17">
        <v>0.56010246978455069</v>
      </c>
      <c r="T21" s="16" t="str">
        <f>IF(F21&gt;S21,"Mejor el BRKGA", "Peor el BRKGA")</f>
        <v>Peor el BRKGA</v>
      </c>
      <c r="U21" s="18">
        <v>14837</v>
      </c>
      <c r="V21" s="19">
        <v>0.48728980557015239</v>
      </c>
      <c r="W21" s="18" t="str">
        <f>IF(F21&gt;V21,"Mejor el BRKGA", "Peor el BRKGA")</f>
        <v>Peor el BRKGA</v>
      </c>
      <c r="X21" s="23">
        <v>966.24564146995544</v>
      </c>
      <c r="Y21" s="22">
        <v>18992</v>
      </c>
      <c r="Z21" s="24">
        <v>0.62380000000000002</v>
      </c>
      <c r="AA21" s="22" t="str">
        <f>IF(F21&gt;Z21,"Mejor el BRKGA", "Peor el BRKGA")</f>
        <v>Peor el BRKGA</v>
      </c>
      <c r="AB21" s="34"/>
      <c r="AI21" s="34"/>
    </row>
    <row r="22" spans="1:35" x14ac:dyDescent="0.3">
      <c r="A22" s="1">
        <v>19</v>
      </c>
      <c r="B22" s="3">
        <v>4389</v>
      </c>
      <c r="C22" s="3">
        <v>1908</v>
      </c>
      <c r="D22" s="30">
        <v>57.009621834754945</v>
      </c>
      <c r="E22" s="31">
        <v>3160</v>
      </c>
      <c r="F22" s="32">
        <v>0.71998177261335161</v>
      </c>
      <c r="G22" s="31">
        <v>1288</v>
      </c>
      <c r="H22" s="31">
        <v>3160</v>
      </c>
      <c r="I22" s="30">
        <v>96635.528678791525</v>
      </c>
      <c r="J22" s="30">
        <v>30.580863505946681</v>
      </c>
      <c r="K22" s="33">
        <v>6.0871407461166385</v>
      </c>
      <c r="L22" s="6">
        <v>3158</v>
      </c>
      <c r="M22" s="7">
        <v>0.71952608794714057</v>
      </c>
      <c r="N22" s="6">
        <v>1276</v>
      </c>
      <c r="O22" s="6">
        <v>3158</v>
      </c>
      <c r="P22" s="6">
        <v>97180.14136265534</v>
      </c>
      <c r="Q22" s="6">
        <v>30.77268567531835</v>
      </c>
      <c r="R22" s="16">
        <v>2346</v>
      </c>
      <c r="S22" s="17">
        <v>0.53451811346548184</v>
      </c>
      <c r="T22" s="16" t="str">
        <f>IF(F22&gt;S22,"Mejor el BRKGA", "Peor el BRKGA")</f>
        <v>Mejor el BRKGA</v>
      </c>
      <c r="U22" s="18">
        <v>2065</v>
      </c>
      <c r="V22" s="19">
        <v>0.47049441786283891</v>
      </c>
      <c r="W22" s="18" t="str">
        <f>IF(F22&gt;V22,"Mejor el BRKGA", "Peor el BRKGA")</f>
        <v>Mejor el BRKGA</v>
      </c>
      <c r="X22" s="23">
        <v>68.564905643463135</v>
      </c>
      <c r="Y22" s="22">
        <v>2788</v>
      </c>
      <c r="Z22" s="24">
        <v>0.63519999999999999</v>
      </c>
      <c r="AA22" s="22" t="str">
        <f>IF(F22&gt;Z22,"Mejor el BRKGA", "Peor el BRKGA")</f>
        <v>Mejor el BRKGA</v>
      </c>
      <c r="AB22" s="34"/>
      <c r="AI22" s="34"/>
    </row>
    <row r="23" spans="1:35" x14ac:dyDescent="0.3">
      <c r="A23" s="1">
        <v>20</v>
      </c>
      <c r="B23" s="3">
        <v>13076</v>
      </c>
      <c r="C23" s="3">
        <v>4905</v>
      </c>
      <c r="D23" s="30">
        <v>31.39686852216721</v>
      </c>
      <c r="E23" s="31">
        <v>9116</v>
      </c>
      <c r="F23" s="32">
        <v>0.69715509330070358</v>
      </c>
      <c r="G23" s="31">
        <v>3455</v>
      </c>
      <c r="H23" s="31">
        <v>9116</v>
      </c>
      <c r="I23" s="30">
        <v>283635.51314376999</v>
      </c>
      <c r="J23" s="30">
        <v>31.114031718272269</v>
      </c>
      <c r="K23" s="33">
        <v>33.791559121608728</v>
      </c>
      <c r="L23" s="6">
        <v>9133</v>
      </c>
      <c r="M23" s="7">
        <v>0.69845518507188742</v>
      </c>
      <c r="N23" s="6">
        <v>3501</v>
      </c>
      <c r="O23" s="6">
        <v>9133</v>
      </c>
      <c r="P23" s="6">
        <v>285002.08461605711</v>
      </c>
      <c r="Q23" s="6">
        <v>31.205746700542768</v>
      </c>
      <c r="R23" s="16">
        <v>6739</v>
      </c>
      <c r="S23" s="17">
        <v>0.51537167329458555</v>
      </c>
      <c r="T23" s="16" t="str">
        <f>IF(F23&gt;S23,"Mejor el BRKGA", "Peor el BRKGA")</f>
        <v>Mejor el BRKGA</v>
      </c>
      <c r="U23" s="18">
        <v>5998</v>
      </c>
      <c r="V23" s="19">
        <v>0.45870296726827775</v>
      </c>
      <c r="W23" s="18" t="str">
        <f>IF(F23&gt;V23,"Mejor el BRKGA", "Peor el BRKGA")</f>
        <v>Mejor el BRKGA</v>
      </c>
      <c r="X23" s="23">
        <v>265.72085309028631</v>
      </c>
      <c r="Y23" s="22">
        <v>7785</v>
      </c>
      <c r="Z23" s="24">
        <v>0.59540000000000004</v>
      </c>
      <c r="AA23" s="22" t="str">
        <f>IF(F23&gt;Z23,"Mejor el BRKGA", "Peor el BRKGA")</f>
        <v>Mejor el BRKGA</v>
      </c>
      <c r="AB23" s="34"/>
      <c r="AI23" s="34"/>
    </row>
    <row r="24" spans="1:35" x14ac:dyDescent="0.3">
      <c r="A24" s="1">
        <v>21</v>
      </c>
      <c r="B24" s="3">
        <v>1376</v>
      </c>
      <c r="C24" s="3">
        <v>959</v>
      </c>
      <c r="D24" s="30">
        <v>15.095122575759891</v>
      </c>
      <c r="E24" s="31">
        <v>891</v>
      </c>
      <c r="F24" s="32">
        <v>0.64752906976744184</v>
      </c>
      <c r="G24" s="31">
        <v>493</v>
      </c>
      <c r="H24" s="31">
        <v>891</v>
      </c>
      <c r="I24" s="30">
        <v>20460.033766494798</v>
      </c>
      <c r="J24" s="30">
        <v>22.963000860263531</v>
      </c>
      <c r="K24" s="33">
        <v>1.387548372745514</v>
      </c>
      <c r="L24" s="6">
        <v>891</v>
      </c>
      <c r="M24" s="7">
        <v>0.64752906976744184</v>
      </c>
      <c r="N24" s="6">
        <v>498</v>
      </c>
      <c r="O24" s="6">
        <v>891</v>
      </c>
      <c r="P24" s="6">
        <v>20314.117363727131</v>
      </c>
      <c r="Q24" s="6">
        <v>22.79923385379027</v>
      </c>
      <c r="R24" s="16">
        <v>604</v>
      </c>
      <c r="S24" s="17">
        <v>0.43895348837209303</v>
      </c>
      <c r="T24" s="16" t="str">
        <f>IF(F24&gt;S24,"Mejor el BRKGA", "Peor el BRKGA")</f>
        <v>Mejor el BRKGA</v>
      </c>
      <c r="U24" s="18">
        <v>562</v>
      </c>
      <c r="V24" s="19">
        <v>0.40843023255813954</v>
      </c>
      <c r="W24" s="18" t="str">
        <f>IF(F24&gt;V24,"Mejor el BRKGA", "Peor el BRKGA")</f>
        <v>Mejor el BRKGA</v>
      </c>
      <c r="X24" s="23">
        <v>21.97189116477966</v>
      </c>
      <c r="Y24" s="22">
        <v>726</v>
      </c>
      <c r="Z24" s="24">
        <v>0.52759999999999996</v>
      </c>
      <c r="AA24" s="22" t="str">
        <f>IF(F24&gt;Z24,"Mejor el BRKGA", "Peor el BRKGA")</f>
        <v>Mejor el BRKGA</v>
      </c>
      <c r="AB24" s="34"/>
      <c r="AI24" s="34"/>
    </row>
    <row r="25" spans="1:35" x14ac:dyDescent="0.3">
      <c r="A25" s="1">
        <v>22</v>
      </c>
      <c r="B25" s="3">
        <v>539</v>
      </c>
      <c r="C25" s="3">
        <v>396</v>
      </c>
      <c r="D25" s="30">
        <v>3.165312337875366</v>
      </c>
      <c r="E25" s="31">
        <v>399</v>
      </c>
      <c r="F25" s="32">
        <v>0.74025974025974028</v>
      </c>
      <c r="G25" s="31">
        <v>202</v>
      </c>
      <c r="H25" s="31">
        <v>399</v>
      </c>
      <c r="I25" s="30">
        <v>9428.3209178008346</v>
      </c>
      <c r="J25" s="30">
        <v>23.62987698696951</v>
      </c>
      <c r="K25" s="33">
        <v>3.49797241687775</v>
      </c>
      <c r="L25" s="6">
        <v>399</v>
      </c>
      <c r="M25" s="7">
        <v>0.74025974025974028</v>
      </c>
      <c r="N25" s="6">
        <v>201</v>
      </c>
      <c r="O25" s="6">
        <v>399</v>
      </c>
      <c r="P25" s="6">
        <v>9472.0705180965433</v>
      </c>
      <c r="Q25" s="6">
        <v>23.739525108011389</v>
      </c>
      <c r="R25" s="16">
        <v>329</v>
      </c>
      <c r="S25" s="17">
        <v>0.61038961038961037</v>
      </c>
      <c r="T25" s="16" t="str">
        <f>IF(F25&gt;S25,"Mejor el BRKGA", "Peor el BRKGA")</f>
        <v>Mejor el BRKGA</v>
      </c>
      <c r="U25" s="18">
        <v>290</v>
      </c>
      <c r="V25" s="19">
        <v>0.53803339517625237</v>
      </c>
      <c r="W25" s="18" t="str">
        <f>IF(F25&gt;V25,"Mejor el BRKGA", "Peor el BRKGA")</f>
        <v>Mejor el BRKGA</v>
      </c>
      <c r="X25" s="23">
        <v>5.9375791549682617</v>
      </c>
      <c r="Y25" s="22">
        <v>370</v>
      </c>
      <c r="Z25" s="24">
        <v>0.68650000000000011</v>
      </c>
      <c r="AA25" s="22" t="str">
        <f>IF(F25&gt;Z25,"Mejor el BRKGA", "Peor el BRKGA")</f>
        <v>Mejor el BRKGA</v>
      </c>
      <c r="AB25" s="34"/>
      <c r="AI25" s="34"/>
    </row>
    <row r="26" spans="1:35" x14ac:dyDescent="0.3">
      <c r="A26" s="1">
        <v>23</v>
      </c>
      <c r="B26" s="3">
        <v>4387</v>
      </c>
      <c r="C26" s="3">
        <v>2111</v>
      </c>
      <c r="D26" s="30">
        <v>53.278585386276248</v>
      </c>
      <c r="E26" s="31">
        <v>2884</v>
      </c>
      <c r="F26" s="32">
        <v>0.65739685434237516</v>
      </c>
      <c r="G26" s="31">
        <v>1223</v>
      </c>
      <c r="H26" s="31">
        <v>2884</v>
      </c>
      <c r="I26" s="30">
        <v>79214.188733497358</v>
      </c>
      <c r="J26" s="30">
        <v>27.466778340325021</v>
      </c>
      <c r="K26" s="33">
        <v>4.4549773693084722</v>
      </c>
      <c r="L26" s="6">
        <v>2889</v>
      </c>
      <c r="M26" s="7">
        <v>0.65853658536585369</v>
      </c>
      <c r="N26" s="6">
        <v>1250</v>
      </c>
      <c r="O26" s="6">
        <v>2889</v>
      </c>
      <c r="P26" s="6">
        <v>79356.69719391581</v>
      </c>
      <c r="Q26" s="6">
        <v>27.468569468298998</v>
      </c>
      <c r="R26" s="16">
        <v>1866</v>
      </c>
      <c r="S26" s="17">
        <v>0.42534761796216092</v>
      </c>
      <c r="T26" s="16" t="str">
        <f>IF(F26&gt;S26,"Mejor el BRKGA", "Peor el BRKGA")</f>
        <v>Mejor el BRKGA</v>
      </c>
      <c r="U26" s="18">
        <v>1811</v>
      </c>
      <c r="V26" s="19">
        <v>0.41281057670389787</v>
      </c>
      <c r="W26" s="18" t="str">
        <f>IF(F26&gt;V26,"Mejor el BRKGA", "Peor el BRKGA")</f>
        <v>Mejor el BRKGA</v>
      </c>
      <c r="X26" s="23">
        <v>69.410813331604004</v>
      </c>
      <c r="Y26" s="22">
        <v>2205</v>
      </c>
      <c r="Z26" s="24">
        <v>0.50259999999999994</v>
      </c>
      <c r="AA26" s="22" t="str">
        <f>IF(F26&gt;Z26,"Mejor el BRKGA", "Peor el BRKGA")</f>
        <v>Mejor el BRKGA</v>
      </c>
      <c r="AB26" s="34"/>
      <c r="AI26" s="34"/>
    </row>
    <row r="27" spans="1:35" x14ac:dyDescent="0.3">
      <c r="D27" s="9"/>
      <c r="AB27" s="8"/>
    </row>
    <row r="28" spans="1:35" x14ac:dyDescent="0.3">
      <c r="AB28" s="8"/>
    </row>
  </sheetData>
  <mergeCells count="5">
    <mergeCell ref="X1:AA1"/>
    <mergeCell ref="D1:J1"/>
    <mergeCell ref="K1:Q1"/>
    <mergeCell ref="R1:T1"/>
    <mergeCell ref="U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Sebastian Giraldo Herrera</dc:creator>
  <cp:lastModifiedBy>Daniel Sebastian Giraldo Herrera</cp:lastModifiedBy>
  <dcterms:created xsi:type="dcterms:W3CDTF">2025-11-22T15:13:08Z</dcterms:created>
  <dcterms:modified xsi:type="dcterms:W3CDTF">2026-02-27T04:37:00Z</dcterms:modified>
</cp:coreProperties>
</file>