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"/>
    </mc:Choice>
  </mc:AlternateContent>
  <xr:revisionPtr revIDLastSave="4" documentId="8_{BBB5E97A-7FE4-4B98-B859-9B241398A518}" xr6:coauthVersionLast="47" xr6:coauthVersionMax="47" xr10:uidLastSave="{53593D2D-B4E2-4ABE-8C54-A336933A4DEA}"/>
  <bookViews>
    <workbookView xWindow="-108" yWindow="-108" windowWidth="23256" windowHeight="12456" xr2:uid="{801F2809-F06F-4A4B-B7D4-779CDF41A9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3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</calcChain>
</file>

<file path=xl/sharedStrings.xml><?xml version="1.0" encoding="utf-8"?>
<sst xmlns="http://schemas.openxmlformats.org/spreadsheetml/2006/main" count="27" uniqueCount="18">
  <si>
    <t>BRKGA - COVERAGE</t>
  </si>
  <si>
    <t>Instances</t>
  </si>
  <si>
    <t>Total orders</t>
  </si>
  <si>
    <t>Total couriers</t>
  </si>
  <si>
    <t>Tiempo_ejecucion_segundos</t>
  </si>
  <si>
    <t>Ordenes_cumplidas</t>
  </si>
  <si>
    <t>Tasa_cobertura</t>
  </si>
  <si>
    <t>Domiciliarios_utilizados</t>
  </si>
  <si>
    <t>Rutas_creadas</t>
  </si>
  <si>
    <t>Tiempo_viaje_total_min</t>
  </si>
  <si>
    <t>Tiempo_viaje_promedio_orden</t>
  </si>
  <si>
    <t>BRKGA -TRAVEL</t>
  </si>
  <si>
    <t>Orders fullfilled</t>
  </si>
  <si>
    <t>% fullfilled</t>
  </si>
  <si>
    <t>mejor o peor</t>
  </si>
  <si>
    <t>Tiempo_ejecucion_total_segundos</t>
  </si>
  <si>
    <t>Business model</t>
  </si>
  <si>
    <t>Business model lookahead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</si>
</sst>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top"/>
    </xf>
    <xf numFmtId="0" fontId="0" fillId="4" borderId="1" xfId="0" applyFill="1" applyBorder="1"/>
    <xf numFmtId="2" fontId="0" fillId="2" borderId="1" xfId="0" applyNumberFormat="1" applyFill="1" applyBorder="1"/>
    <xf numFmtId="0" fontId="0" fillId="2" borderId="1" xfId="0" applyFill="1" applyBorder="1"/>
    <xf numFmtId="9" fontId="0" fillId="2" borderId="1" xfId="1" applyFont="1" applyFill="1" applyBorder="1"/>
    <xf numFmtId="0" fontId="2" fillId="5" borderId="1" xfId="0" applyFont="1" applyFill="1" applyBorder="1" applyAlignment="1">
      <alignment horizontal="center" vertical="top"/>
    </xf>
    <xf numFmtId="2" fontId="0" fillId="5" borderId="1" xfId="0" applyNumberFormat="1" applyFill="1" applyBorder="1"/>
    <xf numFmtId="9" fontId="0" fillId="5" borderId="1" xfId="1" applyFont="1" applyFill="1" applyBorder="1"/>
    <xf numFmtId="0" fontId="0" fillId="5" borderId="1" xfId="0" applyFill="1" applyBorder="1"/>
    <xf numFmtId="0" fontId="0" fillId="6" borderId="1" xfId="0" applyFill="1" applyBorder="1"/>
    <xf numFmtId="0" fontId="2" fillId="6" borderId="1" xfId="0" applyFont="1" applyFill="1" applyBorder="1" applyAlignment="1">
      <alignment horizontal="center" vertical="top"/>
    </xf>
    <xf numFmtId="9" fontId="0" fillId="6" borderId="1" xfId="1" applyFont="1" applyFill="1" applyBorder="1"/>
    <xf numFmtId="0" fontId="3" fillId="7" borderId="1" xfId="0" applyFont="1" applyFill="1" applyBorder="1" applyAlignment="1">
      <alignment horizontal="center" vertical="top"/>
    </xf>
    <xf numFmtId="0" fontId="0" fillId="7" borderId="1" xfId="0" applyFill="1" applyBorder="1"/>
    <xf numFmtId="2" fontId="0" fillId="7" borderId="1" xfId="0" applyNumberFormat="1" applyFill="1" applyBorder="1"/>
    <xf numFmtId="9" fontId="0" fillId="7" borderId="1" xfId="1" applyFont="1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8ABB-F1C9-4268-87EC-4764860C752E}">
  <dimension ref="A1:X26"/>
  <sheetViews>
    <sheetView tabSelected="1" workbookViewId="0">
      <selection activeCell="M10" sqref="M10"/>
    </sheetView>
  </sheetViews>
  <sheetFormatPr baseColWidth="10" defaultRowHeight="14.4" x14ac:dyDescent="0.3"/>
  <sheetData>
    <row r="1" spans="1:24" x14ac:dyDescent="0.3">
      <c r="A1" s="1"/>
      <c r="B1" s="1"/>
      <c r="C1" s="1"/>
      <c r="D1" s="19" t="s">
        <v>0</v>
      </c>
      <c r="E1" s="19"/>
      <c r="F1" s="19"/>
      <c r="G1" s="19"/>
      <c r="H1" s="19"/>
      <c r="I1" s="19"/>
      <c r="J1" s="19"/>
      <c r="K1" s="20" t="s">
        <v>11</v>
      </c>
      <c r="L1" s="20"/>
      <c r="M1" s="20"/>
      <c r="N1" s="20"/>
      <c r="O1" s="20"/>
      <c r="P1" s="20"/>
      <c r="Q1" s="20"/>
      <c r="R1" s="21" t="s">
        <v>16</v>
      </c>
      <c r="S1" s="21"/>
      <c r="T1" s="21"/>
      <c r="U1" s="22" t="s">
        <v>17</v>
      </c>
      <c r="V1" s="22"/>
      <c r="W1" s="22"/>
      <c r="X1" s="22"/>
    </row>
    <row r="2" spans="1:24" x14ac:dyDescent="0.3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8" t="s">
        <v>4</v>
      </c>
      <c r="L2" s="8" t="s">
        <v>5</v>
      </c>
      <c r="M2" s="8" t="s">
        <v>6</v>
      </c>
      <c r="N2" s="8" t="s">
        <v>7</v>
      </c>
      <c r="O2" s="8" t="s">
        <v>8</v>
      </c>
      <c r="P2" s="8" t="s">
        <v>9</v>
      </c>
      <c r="Q2" s="8" t="s">
        <v>10</v>
      </c>
      <c r="R2" s="12" t="s">
        <v>12</v>
      </c>
      <c r="S2" s="12" t="s">
        <v>13</v>
      </c>
      <c r="T2" s="13" t="s">
        <v>14</v>
      </c>
      <c r="U2" s="15" t="s">
        <v>15</v>
      </c>
      <c r="V2" s="15" t="s">
        <v>5</v>
      </c>
      <c r="W2" s="15" t="s">
        <v>6</v>
      </c>
      <c r="X2" s="16"/>
    </row>
    <row r="3" spans="1:24" x14ac:dyDescent="0.3">
      <c r="A3" s="4">
        <v>0</v>
      </c>
      <c r="B3" s="4">
        <v>56420</v>
      </c>
      <c r="C3" s="4">
        <v>16710</v>
      </c>
      <c r="D3" s="5">
        <v>1142.729964313507</v>
      </c>
      <c r="E3" s="6">
        <v>20909</v>
      </c>
      <c r="F3" s="7">
        <v>0.37059553349875929</v>
      </c>
      <c r="G3" s="6">
        <v>10930</v>
      </c>
      <c r="H3" s="6">
        <v>20909</v>
      </c>
      <c r="I3" s="5">
        <v>720580.83517707419</v>
      </c>
      <c r="J3" s="5">
        <v>34.462711520257997</v>
      </c>
      <c r="K3" s="9">
        <v>571.29154729366303</v>
      </c>
      <c r="L3" s="9">
        <v>21082</v>
      </c>
      <c r="M3" s="10">
        <v>0.37366182204891879</v>
      </c>
      <c r="N3" s="9">
        <v>11042</v>
      </c>
      <c r="O3" s="9">
        <v>21082</v>
      </c>
      <c r="P3" s="9">
        <v>726388.79386606393</v>
      </c>
      <c r="Q3" s="9">
        <v>34.455402422258977</v>
      </c>
      <c r="R3" s="12">
        <v>23134</v>
      </c>
      <c r="S3" s="14">
        <v>0.41003190358029068</v>
      </c>
      <c r="T3" s="12" t="str">
        <f t="shared" ref="T3:T26" si="0">IF(F3&gt;S3,"Mejor el BRKGA", "Peor el BRKGA")</f>
        <v>Peor el BRKGA</v>
      </c>
      <c r="U3" s="17">
        <v>2916.3020026683812</v>
      </c>
      <c r="V3" s="16">
        <v>26125</v>
      </c>
      <c r="W3" s="18">
        <v>0.46299999999999997</v>
      </c>
      <c r="X3" s="16" t="str">
        <f>IF(F3&gt;W3,"Mejor el BRKGA", "Peor el BRKGA")</f>
        <v>Peor el BRKGA</v>
      </c>
    </row>
    <row r="4" spans="1:24" x14ac:dyDescent="0.3">
      <c r="A4" s="1">
        <v>1</v>
      </c>
      <c r="B4" s="2">
        <v>2959</v>
      </c>
      <c r="C4" s="2">
        <v>1185</v>
      </c>
      <c r="D4" s="5">
        <v>19.819584248065951</v>
      </c>
      <c r="E4" s="6">
        <v>1706</v>
      </c>
      <c r="F4" s="7">
        <v>0.57654613044947622</v>
      </c>
      <c r="G4" s="6">
        <v>708</v>
      </c>
      <c r="H4" s="6">
        <v>1706</v>
      </c>
      <c r="I4" s="5">
        <v>38870.381653620527</v>
      </c>
      <c r="J4" s="5">
        <v>22.784514451125752</v>
      </c>
      <c r="K4" s="9">
        <v>19.429606139659878</v>
      </c>
      <c r="L4" s="11">
        <v>1706</v>
      </c>
      <c r="M4" s="10">
        <v>0.57654613044947622</v>
      </c>
      <c r="N4" s="11">
        <v>717</v>
      </c>
      <c r="O4" s="11">
        <v>1706</v>
      </c>
      <c r="P4" s="11">
        <v>38881.591795574423</v>
      </c>
      <c r="Q4" s="11">
        <v>22.79108546047738</v>
      </c>
      <c r="R4" s="12">
        <v>997</v>
      </c>
      <c r="S4" s="14">
        <v>0.33693815478202094</v>
      </c>
      <c r="T4" s="12" t="str">
        <f t="shared" si="0"/>
        <v>Mejor el BRKGA</v>
      </c>
      <c r="U4" s="17">
        <v>37.889294624328613</v>
      </c>
      <c r="V4" s="16">
        <v>1194</v>
      </c>
      <c r="W4" s="18">
        <v>0.40350000000000003</v>
      </c>
      <c r="X4" s="16" t="str">
        <f t="shared" ref="X4:X26" si="1">IF(F4&gt;W4,"Mejor el BRKGA", "Peor el BRKGA")</f>
        <v>Mejor el BRKGA</v>
      </c>
    </row>
    <row r="5" spans="1:24" x14ac:dyDescent="0.3">
      <c r="A5" s="1">
        <v>2</v>
      </c>
      <c r="B5" s="2">
        <v>24720</v>
      </c>
      <c r="C5" s="2">
        <v>6570</v>
      </c>
      <c r="D5" s="5">
        <v>458.11465102434158</v>
      </c>
      <c r="E5" s="6">
        <v>14594</v>
      </c>
      <c r="F5" s="7">
        <v>0.59037216828478967</v>
      </c>
      <c r="G5" s="6">
        <v>5141</v>
      </c>
      <c r="H5" s="6">
        <v>14594</v>
      </c>
      <c r="I5" s="5">
        <v>428984.33203765901</v>
      </c>
      <c r="J5" s="5">
        <v>29.39456845536926</v>
      </c>
      <c r="K5" s="9">
        <v>356.47720374584196</v>
      </c>
      <c r="L5" s="11">
        <v>14577</v>
      </c>
      <c r="M5" s="10">
        <v>0.58968446601941749</v>
      </c>
      <c r="N5" s="11">
        <v>5080</v>
      </c>
      <c r="O5" s="11">
        <v>14577</v>
      </c>
      <c r="P5" s="11">
        <v>427851.96822445438</v>
      </c>
      <c r="Q5" s="11">
        <v>29.351167470978549</v>
      </c>
      <c r="R5" s="12">
        <v>9529</v>
      </c>
      <c r="S5" s="14">
        <v>0.38547734627831715</v>
      </c>
      <c r="T5" s="12" t="str">
        <f t="shared" si="0"/>
        <v>Mejor el BRKGA</v>
      </c>
      <c r="U5" s="17">
        <v>458.43743348121637</v>
      </c>
      <c r="V5" s="16">
        <v>10934</v>
      </c>
      <c r="W5" s="18">
        <v>0.44229999999999997</v>
      </c>
      <c r="X5" s="16" t="str">
        <f t="shared" si="1"/>
        <v>Mejor el BRKGA</v>
      </c>
    </row>
    <row r="6" spans="1:24" x14ac:dyDescent="0.3">
      <c r="A6" s="1">
        <v>3</v>
      </c>
      <c r="B6" s="2">
        <v>2959</v>
      </c>
      <c r="C6" s="2">
        <v>1185</v>
      </c>
      <c r="D6" s="5">
        <v>22.991482665538786</v>
      </c>
      <c r="E6" s="6">
        <v>1696</v>
      </c>
      <c r="F6" s="7">
        <v>0.57316661034133154</v>
      </c>
      <c r="G6" s="6">
        <v>410</v>
      </c>
      <c r="H6" s="6">
        <v>1696</v>
      </c>
      <c r="I6" s="5">
        <v>38330.616534404253</v>
      </c>
      <c r="J6" s="5">
        <v>22.600599371700621</v>
      </c>
      <c r="K6" s="9">
        <v>22.951462287902832</v>
      </c>
      <c r="L6" s="11">
        <v>1690</v>
      </c>
      <c r="M6" s="10">
        <v>0.57113889827644471</v>
      </c>
      <c r="N6" s="11">
        <v>404</v>
      </c>
      <c r="O6" s="11">
        <v>1690</v>
      </c>
      <c r="P6" s="11">
        <v>38093.372271331587</v>
      </c>
      <c r="Q6" s="11">
        <v>22.540456965284971</v>
      </c>
      <c r="R6" s="12">
        <v>997</v>
      </c>
      <c r="S6" s="14">
        <v>0.33693815478202094</v>
      </c>
      <c r="T6" s="12" t="str">
        <f t="shared" si="0"/>
        <v>Mejor el BRKGA</v>
      </c>
      <c r="U6" s="17">
        <v>36.93513560295105</v>
      </c>
      <c r="V6" s="16">
        <v>1194</v>
      </c>
      <c r="W6" s="18">
        <v>0.40350000000000003</v>
      </c>
      <c r="X6" s="16" t="str">
        <f t="shared" si="1"/>
        <v>Mejor el BRKGA</v>
      </c>
    </row>
    <row r="7" spans="1:24" x14ac:dyDescent="0.3">
      <c r="A7" s="1">
        <v>4</v>
      </c>
      <c r="B7" s="2">
        <v>844</v>
      </c>
      <c r="C7" s="2">
        <v>415</v>
      </c>
      <c r="D7" s="5">
        <v>5.7356469631195068</v>
      </c>
      <c r="E7" s="6">
        <v>457</v>
      </c>
      <c r="F7" s="7">
        <v>0.54146919431279616</v>
      </c>
      <c r="G7" s="6">
        <v>235</v>
      </c>
      <c r="H7" s="6">
        <v>457</v>
      </c>
      <c r="I7" s="5">
        <v>11282.71623982999</v>
      </c>
      <c r="J7" s="5">
        <v>24.688656979934329</v>
      </c>
      <c r="K7" s="9">
        <v>5.9227291584014896</v>
      </c>
      <c r="L7" s="11">
        <v>457</v>
      </c>
      <c r="M7" s="10">
        <v>0.54146919431279616</v>
      </c>
      <c r="N7" s="11">
        <v>234</v>
      </c>
      <c r="O7" s="11">
        <v>457</v>
      </c>
      <c r="P7" s="11">
        <v>11349.578342670749</v>
      </c>
      <c r="Q7" s="11">
        <v>24.83496355070185</v>
      </c>
      <c r="R7" s="12">
        <v>318</v>
      </c>
      <c r="S7" s="14">
        <v>0.37677725118483413</v>
      </c>
      <c r="T7" s="12" t="str">
        <f t="shared" si="0"/>
        <v>Mejor el BRKGA</v>
      </c>
      <c r="U7" s="17">
        <v>11.34278273582458</v>
      </c>
      <c r="V7" s="16">
        <v>372</v>
      </c>
      <c r="W7" s="18">
        <v>0.44079999999999997</v>
      </c>
      <c r="X7" s="16" t="str">
        <f t="shared" si="1"/>
        <v>Mejor el BRKGA</v>
      </c>
    </row>
    <row r="8" spans="1:24" x14ac:dyDescent="0.3">
      <c r="A8" s="1">
        <v>5</v>
      </c>
      <c r="B8" s="2">
        <v>9115</v>
      </c>
      <c r="C8" s="2">
        <v>2803</v>
      </c>
      <c r="D8" s="5">
        <v>80.091013557910898</v>
      </c>
      <c r="E8" s="6">
        <v>4448</v>
      </c>
      <c r="F8" s="7">
        <v>0.48798683488754802</v>
      </c>
      <c r="G8" s="6">
        <v>974</v>
      </c>
      <c r="H8" s="6">
        <v>4448</v>
      </c>
      <c r="I8" s="5">
        <v>98846.137483061393</v>
      </c>
      <c r="J8" s="5">
        <v>22.222602851407689</v>
      </c>
      <c r="K8" s="9">
        <v>80.391266345977783</v>
      </c>
      <c r="L8" s="11">
        <v>4457</v>
      </c>
      <c r="M8" s="10">
        <v>0.48897421832144822</v>
      </c>
      <c r="N8" s="11">
        <v>967</v>
      </c>
      <c r="O8" s="11">
        <v>4457</v>
      </c>
      <c r="P8" s="11">
        <v>99059.491135896023</v>
      </c>
      <c r="Q8" s="11">
        <v>22.225598190687911</v>
      </c>
      <c r="R8" s="12">
        <v>2370</v>
      </c>
      <c r="S8" s="14">
        <v>0.26001097092704334</v>
      </c>
      <c r="T8" s="12" t="str">
        <f t="shared" si="0"/>
        <v>Mejor el BRKGA</v>
      </c>
      <c r="U8" s="17">
        <v>98.465885400772095</v>
      </c>
      <c r="V8" s="16">
        <v>3008</v>
      </c>
      <c r="W8" s="18">
        <v>0.33</v>
      </c>
      <c r="X8" s="16" t="str">
        <f t="shared" si="1"/>
        <v>Mejor el BRKGA</v>
      </c>
    </row>
    <row r="9" spans="1:24" x14ac:dyDescent="0.3">
      <c r="A9" s="4">
        <v>6</v>
      </c>
      <c r="B9" s="4">
        <v>59167</v>
      </c>
      <c r="C9" s="4">
        <v>16782</v>
      </c>
      <c r="D9" s="5">
        <v>489.57424739150599</v>
      </c>
      <c r="E9" s="6">
        <v>20342</v>
      </c>
      <c r="F9" s="7">
        <v>0.34380651376611959</v>
      </c>
      <c r="G9" s="6">
        <v>10227</v>
      </c>
      <c r="H9" s="6">
        <v>20342</v>
      </c>
      <c r="I9" s="5">
        <v>699759.49012498651</v>
      </c>
      <c r="J9" s="5">
        <v>34.399738969864643</v>
      </c>
      <c r="K9" s="9">
        <v>477.37524939060211</v>
      </c>
      <c r="L9" s="11">
        <v>20108</v>
      </c>
      <c r="M9" s="10">
        <v>0.33985160646982271</v>
      </c>
      <c r="N9" s="11">
        <v>10231</v>
      </c>
      <c r="O9" s="11">
        <v>20108</v>
      </c>
      <c r="P9" s="11">
        <v>694269.87039241684</v>
      </c>
      <c r="Q9" s="11">
        <v>34.527047463318922</v>
      </c>
      <c r="R9" s="12">
        <v>25353</v>
      </c>
      <c r="S9" s="14">
        <v>0.42849899437186267</v>
      </c>
      <c r="T9" s="12" t="str">
        <f t="shared" si="0"/>
        <v>Peor el BRKGA</v>
      </c>
      <c r="U9" s="17">
        <v>6738.0426757335663</v>
      </c>
      <c r="V9" s="16">
        <v>28798</v>
      </c>
      <c r="W9" s="18">
        <v>0.48670000000000002</v>
      </c>
      <c r="X9" s="16" t="str">
        <f t="shared" si="1"/>
        <v>Peor el BRKGA</v>
      </c>
    </row>
    <row r="10" spans="1:24" x14ac:dyDescent="0.3">
      <c r="A10" s="1">
        <v>7</v>
      </c>
      <c r="B10" s="2">
        <v>7357</v>
      </c>
      <c r="C10" s="2">
        <v>2643</v>
      </c>
      <c r="D10" s="5">
        <v>115.8626724243164</v>
      </c>
      <c r="E10" s="6">
        <v>4285</v>
      </c>
      <c r="F10" s="7">
        <v>0.58243849395133884</v>
      </c>
      <c r="G10" s="6">
        <v>1813</v>
      </c>
      <c r="H10" s="6">
        <v>4285</v>
      </c>
      <c r="I10" s="5">
        <v>133467.63321507699</v>
      </c>
      <c r="J10" s="5">
        <v>31.14763902335519</v>
      </c>
      <c r="K10" s="9">
        <v>12.075678577423099</v>
      </c>
      <c r="L10" s="11">
        <v>4257</v>
      </c>
      <c r="M10" s="10">
        <v>0.57863259480766616</v>
      </c>
      <c r="N10" s="11">
        <v>1830</v>
      </c>
      <c r="O10" s="11">
        <v>4257</v>
      </c>
      <c r="P10" s="11">
        <v>132520.5171607275</v>
      </c>
      <c r="Q10" s="11">
        <v>31.13002517282769</v>
      </c>
      <c r="R10" s="12">
        <v>2654</v>
      </c>
      <c r="S10" s="14">
        <v>0.36074486883240453</v>
      </c>
      <c r="T10" s="12" t="str">
        <f t="shared" si="0"/>
        <v>Mejor el BRKGA</v>
      </c>
      <c r="U10" s="17">
        <v>102.6643464565277</v>
      </c>
      <c r="V10" s="16">
        <v>3303</v>
      </c>
      <c r="W10" s="18">
        <v>0.44900000000000001</v>
      </c>
      <c r="X10" s="16" t="str">
        <f t="shared" si="1"/>
        <v>Mejor el BRKGA</v>
      </c>
    </row>
    <row r="11" spans="1:24" x14ac:dyDescent="0.3">
      <c r="A11" s="1">
        <v>8</v>
      </c>
      <c r="B11" s="2">
        <v>23155</v>
      </c>
      <c r="C11" s="2">
        <v>6851</v>
      </c>
      <c r="D11" s="5">
        <v>78.986742403507236</v>
      </c>
      <c r="E11" s="6">
        <v>13027</v>
      </c>
      <c r="F11" s="7">
        <v>0.56259987043835025</v>
      </c>
      <c r="G11" s="6">
        <v>5149</v>
      </c>
      <c r="H11" s="6">
        <v>13027</v>
      </c>
      <c r="I11" s="5">
        <v>407656.84942437528</v>
      </c>
      <c r="J11" s="5">
        <v>31.293225564164839</v>
      </c>
      <c r="K11" s="9">
        <v>82.427447731494908</v>
      </c>
      <c r="L11" s="11">
        <v>13009</v>
      </c>
      <c r="M11" s="10">
        <v>0.56182250053984018</v>
      </c>
      <c r="N11" s="11">
        <v>5129</v>
      </c>
      <c r="O11" s="11">
        <v>13009</v>
      </c>
      <c r="P11" s="11">
        <v>406833.94043554447</v>
      </c>
      <c r="Q11" s="11">
        <v>31.273267771200292</v>
      </c>
      <c r="R11" s="12">
        <v>8849</v>
      </c>
      <c r="S11" s="14">
        <v>0.38216367955085295</v>
      </c>
      <c r="T11" s="12" t="str">
        <f t="shared" si="0"/>
        <v>Mejor el BRKGA</v>
      </c>
      <c r="U11" s="17">
        <v>435.54210638999939</v>
      </c>
      <c r="V11" s="16">
        <v>10658</v>
      </c>
      <c r="W11" s="18">
        <v>0.46029999999999999</v>
      </c>
      <c r="X11" s="16" t="str">
        <f t="shared" si="1"/>
        <v>Mejor el BRKGA</v>
      </c>
    </row>
    <row r="12" spans="1:24" x14ac:dyDescent="0.3">
      <c r="A12" s="1">
        <v>9</v>
      </c>
      <c r="B12" s="2">
        <v>2407</v>
      </c>
      <c r="C12" s="2">
        <v>1156</v>
      </c>
      <c r="D12" s="5">
        <v>2.3982193875312809</v>
      </c>
      <c r="E12" s="6">
        <v>1460</v>
      </c>
      <c r="F12" s="7">
        <v>0.60656418778562526</v>
      </c>
      <c r="G12" s="6">
        <v>705</v>
      </c>
      <c r="H12" s="6">
        <v>1460</v>
      </c>
      <c r="I12" s="5">
        <v>35337.045845710672</v>
      </c>
      <c r="J12" s="5">
        <v>24.203456058705939</v>
      </c>
      <c r="K12" s="9">
        <v>3.3654321336746222</v>
      </c>
      <c r="L12" s="11">
        <v>1460</v>
      </c>
      <c r="M12" s="10">
        <v>0.60656418778562526</v>
      </c>
      <c r="N12" s="11">
        <v>714</v>
      </c>
      <c r="O12" s="11">
        <v>1460</v>
      </c>
      <c r="P12" s="11">
        <v>35041.237482259967</v>
      </c>
      <c r="Q12" s="11">
        <v>24.000847590589022</v>
      </c>
      <c r="R12" s="12">
        <v>941</v>
      </c>
      <c r="S12" s="14">
        <v>0.39094308267552969</v>
      </c>
      <c r="T12" s="12" t="str">
        <f t="shared" si="0"/>
        <v>Mejor el BRKGA</v>
      </c>
      <c r="U12" s="17">
        <v>29.006735324859619</v>
      </c>
      <c r="V12" s="16">
        <v>1116</v>
      </c>
      <c r="W12" s="18">
        <v>0.46360000000000001</v>
      </c>
      <c r="X12" s="16" t="str">
        <f t="shared" si="1"/>
        <v>Mejor el BRKGA</v>
      </c>
    </row>
    <row r="13" spans="1:24" x14ac:dyDescent="0.3">
      <c r="A13" s="1">
        <v>10</v>
      </c>
      <c r="B13" s="2">
        <v>735</v>
      </c>
      <c r="C13" s="2">
        <v>455</v>
      </c>
      <c r="D13" s="5">
        <v>4.6121487379074093</v>
      </c>
      <c r="E13" s="6">
        <v>456</v>
      </c>
      <c r="F13" s="7">
        <v>0.62040816326530612</v>
      </c>
      <c r="G13" s="6">
        <v>242</v>
      </c>
      <c r="H13" s="6">
        <v>456</v>
      </c>
      <c r="I13" s="5">
        <v>10793.89858765367</v>
      </c>
      <c r="J13" s="5">
        <v>23.670830236082612</v>
      </c>
      <c r="K13" s="9">
        <v>5.4122673273086601</v>
      </c>
      <c r="L13" s="11">
        <v>456</v>
      </c>
      <c r="M13" s="10">
        <v>0.62040816326530612</v>
      </c>
      <c r="N13" s="11">
        <v>239</v>
      </c>
      <c r="O13" s="11">
        <v>456</v>
      </c>
      <c r="P13" s="11">
        <v>10839.3075033362</v>
      </c>
      <c r="Q13" s="11">
        <v>23.770411191526762</v>
      </c>
      <c r="R13" s="12">
        <v>340</v>
      </c>
      <c r="S13" s="14">
        <v>0.46258503401360546</v>
      </c>
      <c r="T13" s="12" t="str">
        <f t="shared" si="0"/>
        <v>Mejor el BRKGA</v>
      </c>
      <c r="U13" s="17">
        <v>7.7315399646759033</v>
      </c>
      <c r="V13" s="16">
        <v>394</v>
      </c>
      <c r="W13" s="18">
        <v>0.53610000000000002</v>
      </c>
      <c r="X13" s="16" t="str">
        <f t="shared" si="1"/>
        <v>Mejor el BRKGA</v>
      </c>
    </row>
    <row r="14" spans="1:24" x14ac:dyDescent="0.3">
      <c r="A14" s="1">
        <v>11</v>
      </c>
      <c r="B14" s="2">
        <v>8451</v>
      </c>
      <c r="C14" s="2">
        <v>3023</v>
      </c>
      <c r="D14" s="5">
        <v>109.69161274433141</v>
      </c>
      <c r="E14" s="6">
        <v>4259</v>
      </c>
      <c r="F14" s="7">
        <v>0.50396402792568928</v>
      </c>
      <c r="G14" s="6">
        <v>1962</v>
      </c>
      <c r="H14" s="6">
        <v>4259</v>
      </c>
      <c r="I14" s="5">
        <v>116559.2158203772</v>
      </c>
      <c r="J14" s="5">
        <v>27.367742620421971</v>
      </c>
      <c r="K14" s="9">
        <v>15.73763621807098</v>
      </c>
      <c r="L14" s="11">
        <v>4274</v>
      </c>
      <c r="M14" s="10">
        <v>0.50573896580286359</v>
      </c>
      <c r="N14" s="11">
        <v>2002</v>
      </c>
      <c r="O14" s="11">
        <v>4274</v>
      </c>
      <c r="P14" s="11">
        <v>118751.4113531982</v>
      </c>
      <c r="Q14" s="11">
        <v>27.784607242208281</v>
      </c>
      <c r="R14" s="12">
        <v>2375</v>
      </c>
      <c r="S14" s="14">
        <v>0.28103183055259734</v>
      </c>
      <c r="T14" s="12" t="str">
        <f t="shared" si="0"/>
        <v>Mejor el BRKGA</v>
      </c>
      <c r="U14" s="17">
        <v>108.9941720962524</v>
      </c>
      <c r="V14" s="16">
        <v>2920</v>
      </c>
      <c r="W14" s="18">
        <v>0.34549999999999997</v>
      </c>
      <c r="X14" s="16" t="str">
        <f t="shared" si="1"/>
        <v>Mejor el BRKGA</v>
      </c>
    </row>
    <row r="15" spans="1:24" x14ac:dyDescent="0.3">
      <c r="A15" s="4">
        <v>12</v>
      </c>
      <c r="B15" s="4">
        <v>31199</v>
      </c>
      <c r="C15" s="4">
        <v>13152</v>
      </c>
      <c r="D15" s="5">
        <v>198.70880759954449</v>
      </c>
      <c r="E15" s="6">
        <v>16103</v>
      </c>
      <c r="F15" s="7">
        <v>0.51613833776723617</v>
      </c>
      <c r="G15" s="6">
        <v>7744</v>
      </c>
      <c r="H15" s="6">
        <v>16103</v>
      </c>
      <c r="I15" s="5">
        <v>551966.00400606717</v>
      </c>
      <c r="J15" s="5">
        <v>34.277215674474768</v>
      </c>
      <c r="K15" s="9">
        <v>304.31420965433119</v>
      </c>
      <c r="L15" s="11">
        <v>16047</v>
      </c>
      <c r="M15" s="10">
        <v>0.51434340844257831</v>
      </c>
      <c r="N15" s="11">
        <v>7797</v>
      </c>
      <c r="O15" s="11">
        <v>16047</v>
      </c>
      <c r="P15" s="11">
        <v>545421.12795685744</v>
      </c>
      <c r="Q15" s="11">
        <v>33.988977874796383</v>
      </c>
      <c r="R15" s="12">
        <v>16206</v>
      </c>
      <c r="S15" s="14">
        <v>0.51943972563223184</v>
      </c>
      <c r="T15" s="12" t="str">
        <f t="shared" si="0"/>
        <v>Peor el BRKGA</v>
      </c>
      <c r="U15" s="17">
        <v>1201.4973058700559</v>
      </c>
      <c r="V15" s="16">
        <v>18480</v>
      </c>
      <c r="W15" s="18">
        <v>0.59229999999999994</v>
      </c>
      <c r="X15" s="16" t="str">
        <f t="shared" si="1"/>
        <v>Peor el BRKGA</v>
      </c>
    </row>
    <row r="16" spans="1:24" x14ac:dyDescent="0.3">
      <c r="A16" s="1">
        <v>13</v>
      </c>
      <c r="B16" s="2">
        <v>4516</v>
      </c>
      <c r="C16" s="2">
        <v>1876</v>
      </c>
      <c r="D16" s="5">
        <v>56.33340399265289</v>
      </c>
      <c r="E16" s="6">
        <v>3166</v>
      </c>
      <c r="F16" s="7">
        <v>0.70106288751107171</v>
      </c>
      <c r="G16" s="6">
        <v>1252</v>
      </c>
      <c r="H16" s="6">
        <v>3166</v>
      </c>
      <c r="I16" s="5">
        <v>96550.189987040096</v>
      </c>
      <c r="J16" s="5">
        <v>30.495953880934959</v>
      </c>
      <c r="K16" s="9">
        <v>6.3407426738739012</v>
      </c>
      <c r="L16" s="11">
        <v>3167</v>
      </c>
      <c r="M16" s="10">
        <v>0.70128432240921168</v>
      </c>
      <c r="N16" s="11">
        <v>1264</v>
      </c>
      <c r="O16" s="11">
        <v>3167</v>
      </c>
      <c r="P16" s="11">
        <v>97391.439350647241</v>
      </c>
      <c r="Q16" s="11">
        <v>30.751954326064801</v>
      </c>
      <c r="R16" s="12">
        <v>2311</v>
      </c>
      <c r="S16" s="14">
        <v>0.51173604960141716</v>
      </c>
      <c r="T16" s="12" t="str">
        <f t="shared" si="0"/>
        <v>Mejor el BRKGA</v>
      </c>
      <c r="U16" s="17">
        <v>78.875198602676392</v>
      </c>
      <c r="V16" s="16">
        <v>2798</v>
      </c>
      <c r="W16" s="18">
        <v>0.61960000000000004</v>
      </c>
      <c r="X16" s="16" t="str">
        <f t="shared" si="1"/>
        <v>Mejor el BRKGA</v>
      </c>
    </row>
    <row r="17" spans="1:24" x14ac:dyDescent="0.3">
      <c r="A17" s="1">
        <v>14</v>
      </c>
      <c r="B17" s="2">
        <v>13051</v>
      </c>
      <c r="C17" s="2">
        <v>4824</v>
      </c>
      <c r="D17" s="5">
        <v>32.355805644989012</v>
      </c>
      <c r="E17" s="6">
        <v>8907</v>
      </c>
      <c r="F17" s="7">
        <v>0.6824764385870814</v>
      </c>
      <c r="G17" s="6">
        <v>3307</v>
      </c>
      <c r="H17" s="6">
        <v>8907</v>
      </c>
      <c r="I17" s="5">
        <v>286216.58535584272</v>
      </c>
      <c r="J17" s="5">
        <v>32.13389304545219</v>
      </c>
      <c r="K17" s="9">
        <v>35.611396315097807</v>
      </c>
      <c r="L17" s="11">
        <v>8925</v>
      </c>
      <c r="M17" s="10">
        <v>0.68385564324572834</v>
      </c>
      <c r="N17" s="11">
        <v>3328</v>
      </c>
      <c r="O17" s="11">
        <v>8925</v>
      </c>
      <c r="P17" s="11">
        <v>288008.40569753991</v>
      </c>
      <c r="Q17" s="11">
        <v>32.269849377875623</v>
      </c>
      <c r="R17" s="12">
        <v>6530</v>
      </c>
      <c r="S17" s="14">
        <v>0.50034480116466173</v>
      </c>
      <c r="T17" s="12" t="str">
        <f t="shared" si="0"/>
        <v>Mejor el BRKGA</v>
      </c>
      <c r="U17" s="17">
        <v>360.26959562301641</v>
      </c>
      <c r="V17" s="16">
        <v>7555</v>
      </c>
      <c r="W17" s="18">
        <v>0.57889999999999997</v>
      </c>
      <c r="X17" s="16" t="str">
        <f t="shared" si="1"/>
        <v>Mejor el BRKGA</v>
      </c>
    </row>
    <row r="18" spans="1:24" x14ac:dyDescent="0.3">
      <c r="A18" s="1">
        <v>15</v>
      </c>
      <c r="B18" s="2">
        <v>1462</v>
      </c>
      <c r="C18" s="2">
        <v>941</v>
      </c>
      <c r="D18" s="5">
        <v>17.275250959396359</v>
      </c>
      <c r="E18" s="6">
        <v>971</v>
      </c>
      <c r="F18" s="7">
        <v>0.66415868673050615</v>
      </c>
      <c r="G18" s="6">
        <v>520</v>
      </c>
      <c r="H18" s="6">
        <v>971</v>
      </c>
      <c r="I18" s="5">
        <v>22530.105047712099</v>
      </c>
      <c r="J18" s="5">
        <v>23.20299181020814</v>
      </c>
      <c r="K18" s="9">
        <v>1.6232328844070429</v>
      </c>
      <c r="L18" s="11">
        <v>971</v>
      </c>
      <c r="M18" s="10">
        <v>0.66415868673050615</v>
      </c>
      <c r="N18" s="11">
        <v>503</v>
      </c>
      <c r="O18" s="11">
        <v>971</v>
      </c>
      <c r="P18" s="11">
        <v>22392.798287232112</v>
      </c>
      <c r="Q18" s="11">
        <v>23.061584229899189</v>
      </c>
      <c r="R18" s="12">
        <v>704</v>
      </c>
      <c r="S18" s="14">
        <v>0.48153214774281805</v>
      </c>
      <c r="T18" s="12" t="str">
        <f t="shared" si="0"/>
        <v>Mejor el BRKGA</v>
      </c>
      <c r="U18" s="17">
        <v>32.078757524490364</v>
      </c>
      <c r="V18" s="16">
        <v>834</v>
      </c>
      <c r="W18" s="18">
        <v>0.57050000000000001</v>
      </c>
      <c r="X18" s="16" t="str">
        <f t="shared" si="1"/>
        <v>Mejor el BRKGA</v>
      </c>
    </row>
    <row r="19" spans="1:24" x14ac:dyDescent="0.3">
      <c r="A19" s="1">
        <v>16</v>
      </c>
      <c r="B19" s="2">
        <v>538</v>
      </c>
      <c r="C19" s="2">
        <v>430</v>
      </c>
      <c r="D19" s="5">
        <v>3.720403289794922</v>
      </c>
      <c r="E19" s="6">
        <v>381</v>
      </c>
      <c r="F19" s="7">
        <v>0.70817843866171004</v>
      </c>
      <c r="G19" s="6">
        <v>218</v>
      </c>
      <c r="H19" s="6">
        <v>381</v>
      </c>
      <c r="I19" s="5">
        <v>8999.2807143852915</v>
      </c>
      <c r="J19" s="5">
        <v>23.620159355341968</v>
      </c>
      <c r="K19" s="9">
        <v>4.3385988473892203</v>
      </c>
      <c r="L19" s="11">
        <v>381</v>
      </c>
      <c r="M19" s="10">
        <v>0.70817843866171004</v>
      </c>
      <c r="N19" s="11">
        <v>225</v>
      </c>
      <c r="O19" s="11">
        <v>381</v>
      </c>
      <c r="P19" s="11">
        <v>9043.6342032015491</v>
      </c>
      <c r="Q19" s="11">
        <v>23.736572711815089</v>
      </c>
      <c r="R19" s="12">
        <v>339</v>
      </c>
      <c r="S19" s="14">
        <v>0.63011152416356875</v>
      </c>
      <c r="T19" s="12" t="str">
        <f t="shared" si="0"/>
        <v>Mejor el BRKGA</v>
      </c>
      <c r="U19" s="17">
        <v>7.9771955013275146</v>
      </c>
      <c r="V19" s="16">
        <v>359</v>
      </c>
      <c r="W19" s="18">
        <v>0.6673</v>
      </c>
      <c r="X19" s="16" t="str">
        <f t="shared" si="1"/>
        <v>Mejor el BRKGA</v>
      </c>
    </row>
    <row r="20" spans="1:24" x14ac:dyDescent="0.3">
      <c r="A20" s="1">
        <v>17</v>
      </c>
      <c r="B20" s="2">
        <v>4390</v>
      </c>
      <c r="C20" s="2">
        <v>2368</v>
      </c>
      <c r="D20" s="5">
        <v>6.0615591645240787</v>
      </c>
      <c r="E20" s="6">
        <v>2916</v>
      </c>
      <c r="F20" s="7">
        <v>0.66423690205011388</v>
      </c>
      <c r="G20" s="6">
        <v>1365</v>
      </c>
      <c r="H20" s="6">
        <v>2916</v>
      </c>
      <c r="I20" s="5">
        <v>78892.808517255937</v>
      </c>
      <c r="J20" s="5">
        <v>27.055146953791471</v>
      </c>
      <c r="K20" s="9">
        <v>5.7352749705314636</v>
      </c>
      <c r="L20" s="11">
        <v>2914</v>
      </c>
      <c r="M20" s="10">
        <v>0.66378132118451028</v>
      </c>
      <c r="N20" s="11">
        <v>1371</v>
      </c>
      <c r="O20" s="11">
        <v>2914</v>
      </c>
      <c r="P20" s="11">
        <v>78728.705767840831</v>
      </c>
      <c r="Q20" s="11">
        <v>27.017400743939891</v>
      </c>
      <c r="R20" s="12">
        <v>1946</v>
      </c>
      <c r="S20" s="14">
        <v>0.44328018223234622</v>
      </c>
      <c r="T20" s="12" t="str">
        <f t="shared" si="0"/>
        <v>Mejor el BRKGA</v>
      </c>
      <c r="U20" s="17">
        <v>72.660053968429565</v>
      </c>
      <c r="V20" s="16">
        <v>2258</v>
      </c>
      <c r="W20" s="18">
        <v>0.51439999999999997</v>
      </c>
      <c r="X20" s="16" t="str">
        <f t="shared" si="1"/>
        <v>Mejor el BRKGA</v>
      </c>
    </row>
    <row r="21" spans="1:24" x14ac:dyDescent="0.3">
      <c r="A21" s="4">
        <v>18</v>
      </c>
      <c r="B21" s="4">
        <v>30448</v>
      </c>
      <c r="C21" s="4">
        <v>12218</v>
      </c>
      <c r="D21" s="5">
        <v>294.864954264164</v>
      </c>
      <c r="E21" s="6">
        <v>13745</v>
      </c>
      <c r="F21" s="7">
        <v>0.45142538097740409</v>
      </c>
      <c r="G21" s="6">
        <v>6969</v>
      </c>
      <c r="H21" s="6">
        <v>13745</v>
      </c>
      <c r="I21" s="5">
        <v>464843.70618624199</v>
      </c>
      <c r="J21" s="5">
        <v>33.819112854582897</v>
      </c>
      <c r="K21" s="9">
        <v>458.92734714508055</v>
      </c>
      <c r="L21" s="11">
        <v>14064</v>
      </c>
      <c r="M21" s="10">
        <v>0.46190225959012088</v>
      </c>
      <c r="N21" s="11">
        <v>7097</v>
      </c>
      <c r="O21" s="11">
        <v>14064</v>
      </c>
      <c r="P21" s="11">
        <v>477967.41748745268</v>
      </c>
      <c r="Q21" s="11">
        <v>33.985169047742659</v>
      </c>
      <c r="R21" s="12">
        <v>17054</v>
      </c>
      <c r="S21" s="14">
        <v>0.56010246978455069</v>
      </c>
      <c r="T21" s="12" t="str">
        <f t="shared" si="0"/>
        <v>Peor el BRKGA</v>
      </c>
      <c r="U21" s="17">
        <v>966.24564146995544</v>
      </c>
      <c r="V21" s="16">
        <v>18992</v>
      </c>
      <c r="W21" s="18">
        <v>0.62380000000000002</v>
      </c>
      <c r="X21" s="16" t="str">
        <f t="shared" si="1"/>
        <v>Peor el BRKGA</v>
      </c>
    </row>
    <row r="22" spans="1:24" x14ac:dyDescent="0.3">
      <c r="A22" s="1">
        <v>19</v>
      </c>
      <c r="B22" s="2">
        <v>4389</v>
      </c>
      <c r="C22" s="2">
        <v>1908</v>
      </c>
      <c r="D22" s="5">
        <v>57.009621834754945</v>
      </c>
      <c r="E22" s="6">
        <v>3160</v>
      </c>
      <c r="F22" s="7">
        <v>0.71998177261335161</v>
      </c>
      <c r="G22" s="6">
        <v>1288</v>
      </c>
      <c r="H22" s="6">
        <v>3160</v>
      </c>
      <c r="I22" s="5">
        <v>96635.528678791525</v>
      </c>
      <c r="J22" s="5">
        <v>30.580863505946681</v>
      </c>
      <c r="K22" s="9">
        <v>6.0871407461166385</v>
      </c>
      <c r="L22" s="11">
        <v>3158</v>
      </c>
      <c r="M22" s="10">
        <v>0.71952608794714057</v>
      </c>
      <c r="N22" s="11">
        <v>1276</v>
      </c>
      <c r="O22" s="11">
        <v>3158</v>
      </c>
      <c r="P22" s="11">
        <v>97180.14136265534</v>
      </c>
      <c r="Q22" s="11">
        <v>30.77268567531835</v>
      </c>
      <c r="R22" s="12">
        <v>2346</v>
      </c>
      <c r="S22" s="14">
        <v>0.53451811346548184</v>
      </c>
      <c r="T22" s="12" t="str">
        <f t="shared" si="0"/>
        <v>Mejor el BRKGA</v>
      </c>
      <c r="U22" s="17">
        <v>68.564905643463135</v>
      </c>
      <c r="V22" s="16">
        <v>2788</v>
      </c>
      <c r="W22" s="18">
        <v>0.63519999999999999</v>
      </c>
      <c r="X22" s="16" t="str">
        <f t="shared" si="1"/>
        <v>Mejor el BRKGA</v>
      </c>
    </row>
    <row r="23" spans="1:24" x14ac:dyDescent="0.3">
      <c r="A23" s="1">
        <v>20</v>
      </c>
      <c r="B23" s="2">
        <v>13076</v>
      </c>
      <c r="C23" s="2">
        <v>4905</v>
      </c>
      <c r="D23" s="5">
        <v>31.39686852216721</v>
      </c>
      <c r="E23" s="6">
        <v>9116</v>
      </c>
      <c r="F23" s="7">
        <v>0.69715509330070358</v>
      </c>
      <c r="G23" s="6">
        <v>3455</v>
      </c>
      <c r="H23" s="6">
        <v>9116</v>
      </c>
      <c r="I23" s="5">
        <v>283635.51314376999</v>
      </c>
      <c r="J23" s="5">
        <v>31.114031718272269</v>
      </c>
      <c r="K23" s="9">
        <v>33.791559121608728</v>
      </c>
      <c r="L23" s="11">
        <v>9133</v>
      </c>
      <c r="M23" s="10">
        <v>0.69845518507188742</v>
      </c>
      <c r="N23" s="11">
        <v>3501</v>
      </c>
      <c r="O23" s="11">
        <v>9133</v>
      </c>
      <c r="P23" s="11">
        <v>285002.08461605711</v>
      </c>
      <c r="Q23" s="11">
        <v>31.205746700542768</v>
      </c>
      <c r="R23" s="12">
        <v>6739</v>
      </c>
      <c r="S23" s="14">
        <v>0.51537167329458555</v>
      </c>
      <c r="T23" s="12" t="str">
        <f t="shared" si="0"/>
        <v>Mejor el BRKGA</v>
      </c>
      <c r="U23" s="17">
        <v>265.72085309028631</v>
      </c>
      <c r="V23" s="16">
        <v>7785</v>
      </c>
      <c r="W23" s="18">
        <v>0.59540000000000004</v>
      </c>
      <c r="X23" s="16" t="str">
        <f t="shared" si="1"/>
        <v>Mejor el BRKGA</v>
      </c>
    </row>
    <row r="24" spans="1:24" x14ac:dyDescent="0.3">
      <c r="A24" s="1">
        <v>21</v>
      </c>
      <c r="B24" s="2">
        <v>1376</v>
      </c>
      <c r="C24" s="2">
        <v>959</v>
      </c>
      <c r="D24" s="5">
        <v>15.095122575759891</v>
      </c>
      <c r="E24" s="6">
        <v>891</v>
      </c>
      <c r="F24" s="7">
        <v>0.64752906976744184</v>
      </c>
      <c r="G24" s="6">
        <v>493</v>
      </c>
      <c r="H24" s="6">
        <v>891</v>
      </c>
      <c r="I24" s="5">
        <v>20460.033766494798</v>
      </c>
      <c r="J24" s="5">
        <v>22.963000860263531</v>
      </c>
      <c r="K24" s="9">
        <v>1.387548372745514</v>
      </c>
      <c r="L24" s="11">
        <v>891</v>
      </c>
      <c r="M24" s="10">
        <v>0.64752906976744184</v>
      </c>
      <c r="N24" s="11">
        <v>498</v>
      </c>
      <c r="O24" s="11">
        <v>891</v>
      </c>
      <c r="P24" s="11">
        <v>20314.117363727131</v>
      </c>
      <c r="Q24" s="11">
        <v>22.79923385379027</v>
      </c>
      <c r="R24" s="12">
        <v>604</v>
      </c>
      <c r="S24" s="14">
        <v>0.43895348837209303</v>
      </c>
      <c r="T24" s="12" t="str">
        <f t="shared" si="0"/>
        <v>Mejor el BRKGA</v>
      </c>
      <c r="U24" s="17">
        <v>21.97189116477966</v>
      </c>
      <c r="V24" s="16">
        <v>726</v>
      </c>
      <c r="W24" s="18">
        <v>0.52759999999999996</v>
      </c>
      <c r="X24" s="16" t="str">
        <f t="shared" si="1"/>
        <v>Mejor el BRKGA</v>
      </c>
    </row>
    <row r="25" spans="1:24" x14ac:dyDescent="0.3">
      <c r="A25" s="1">
        <v>22</v>
      </c>
      <c r="B25" s="2">
        <v>539</v>
      </c>
      <c r="C25" s="2">
        <v>396</v>
      </c>
      <c r="D25" s="5">
        <v>3.165312337875366</v>
      </c>
      <c r="E25" s="6">
        <v>399</v>
      </c>
      <c r="F25" s="7">
        <v>0.74025974025974028</v>
      </c>
      <c r="G25" s="6">
        <v>202</v>
      </c>
      <c r="H25" s="6">
        <v>399</v>
      </c>
      <c r="I25" s="5">
        <v>9428.3209178008346</v>
      </c>
      <c r="J25" s="5">
        <v>23.62987698696951</v>
      </c>
      <c r="K25" s="9">
        <v>3.49797241687775</v>
      </c>
      <c r="L25" s="11">
        <v>399</v>
      </c>
      <c r="M25" s="10">
        <v>0.74025974025974028</v>
      </c>
      <c r="N25" s="11">
        <v>201</v>
      </c>
      <c r="O25" s="11">
        <v>399</v>
      </c>
      <c r="P25" s="11">
        <v>9472.0705180965433</v>
      </c>
      <c r="Q25" s="11">
        <v>23.739525108011389</v>
      </c>
      <c r="R25" s="12">
        <v>329</v>
      </c>
      <c r="S25" s="14">
        <v>0.61038961038961037</v>
      </c>
      <c r="T25" s="12" t="str">
        <f t="shared" si="0"/>
        <v>Mejor el BRKGA</v>
      </c>
      <c r="U25" s="17">
        <v>5.9375791549682617</v>
      </c>
      <c r="V25" s="16">
        <v>370</v>
      </c>
      <c r="W25" s="18">
        <v>0.68650000000000011</v>
      </c>
      <c r="X25" s="16" t="str">
        <f t="shared" si="1"/>
        <v>Mejor el BRKGA</v>
      </c>
    </row>
    <row r="26" spans="1:24" x14ac:dyDescent="0.3">
      <c r="A26" s="1">
        <v>23</v>
      </c>
      <c r="B26" s="2">
        <v>4387</v>
      </c>
      <c r="C26" s="2">
        <v>2111</v>
      </c>
      <c r="D26" s="5">
        <v>53.278585386276248</v>
      </c>
      <c r="E26" s="6">
        <v>2884</v>
      </c>
      <c r="F26" s="7">
        <v>0.65739685434237516</v>
      </c>
      <c r="G26" s="6">
        <v>1223</v>
      </c>
      <c r="H26" s="6">
        <v>2884</v>
      </c>
      <c r="I26" s="5">
        <v>79214.188733497358</v>
      </c>
      <c r="J26" s="5">
        <v>27.466778340325021</v>
      </c>
      <c r="K26" s="9">
        <v>4.4549773693084722</v>
      </c>
      <c r="L26" s="11">
        <v>2889</v>
      </c>
      <c r="M26" s="10">
        <v>0.65853658536585369</v>
      </c>
      <c r="N26" s="11">
        <v>1250</v>
      </c>
      <c r="O26" s="11">
        <v>2889</v>
      </c>
      <c r="P26" s="11">
        <v>79356.69719391581</v>
      </c>
      <c r="Q26" s="11">
        <v>27.468569468298998</v>
      </c>
      <c r="R26" s="12">
        <v>1866</v>
      </c>
      <c r="S26" s="14">
        <v>0.42534761796216092</v>
      </c>
      <c r="T26" s="12" t="str">
        <f t="shared" si="0"/>
        <v>Mejor el BRKGA</v>
      </c>
      <c r="U26" s="17">
        <v>69.410813331604004</v>
      </c>
      <c r="V26" s="16">
        <v>2205</v>
      </c>
      <c r="W26" s="18">
        <v>0.50259999999999994</v>
      </c>
      <c r="X26" s="16" t="str">
        <f t="shared" si="1"/>
        <v>Mejor el BRKGA</v>
      </c>
    </row>
  </sheetData>
  <mergeCells count="4">
    <mergeCell ref="D1:J1"/>
    <mergeCell ref="K1:Q1"/>
    <mergeCell ref="R1:T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Sebastian Giraldo Herrera</dc:creator>
  <cp:lastModifiedBy>Daniel Sebastian Giraldo Herrera</cp:lastModifiedBy>
  <dcterms:created xsi:type="dcterms:W3CDTF">2026-02-27T03:50:06Z</dcterms:created>
  <dcterms:modified xsi:type="dcterms:W3CDTF">2026-02-27T04:35:50Z</dcterms:modified>
</cp:coreProperties>
</file>